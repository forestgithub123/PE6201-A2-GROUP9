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2300\Downloads\"/>
    </mc:Choice>
  </mc:AlternateContent>
  <bookViews>
    <workbookView windowWidth="19200" windowHeight="8055" firstSheet="1" activeTab="4"/>
  </bookViews>
  <sheets>
    <sheet name="D6 Cost Ledger" sheetId="1" r:id="rId1"/>
    <sheet name="D6 Assumptions" sheetId="2" r:id="rId2"/>
    <sheet name="B Analysis Handoff" sheetId="3" r:id="rId3"/>
    <sheet name="D6 Analysis" sheetId="4" r:id="rId4"/>
    <sheet name="D6 Lever Evidenc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Source</author>
  </authors>
  <commentList>
    <comment ref="B24" authorId="0">
      <text>
        <r>
          <rPr>
            <sz val="10"/>
            <rFont val="宋体"/>
            <charset val="134"/>
          </rPr>
          <t>Source: OpenRouter, GPT-4o mini model pricing, checked 19 September 2026. Input US$0.15 and output US$0.60 per 1,000,000 tokens. https://openrouter.ai/openai/gpt-4o-mini</t>
        </r>
      </text>
    </comment>
    <comment ref="B25" authorId="0">
      <text>
        <r>
          <rPr>
            <sz val="10"/>
            <rFont val="宋体"/>
            <charset val="134"/>
          </rPr>
          <t>Source: OpenRouter, Gemini 2.5 Flash model pricing, checked 19 September 2026. Input US$0.30 and output US$2.50 per 1,000,000 tokens. https://openrouter.ai/google/gemini-2.5-flash</t>
        </r>
      </text>
    </comment>
    <comment ref="B26" authorId="0">
      <text>
        <r>
          <rPr>
            <sz val="10"/>
            <rFont val="宋体"/>
            <charset val="134"/>
          </rPr>
          <t>Source: OpenRouter, Gemini 3.8 Flash model pricing, checked 19 September 2026. Input US$0.75 and output US$3.75 per 1,000,000 tokens. https://openrouter.ai/google/gemini-3.8-flash The page labels this rate as a 50% promotion.</t>
        </r>
      </text>
    </comment>
    <comment ref="B27" authorId="0">
      <text>
        <r>
          <rPr>
            <sz val="10"/>
            <rFont val="宋体"/>
            <charset val="134"/>
          </rPr>
          <t>Source: OpenRouter, GPT-5.6 Luna model pricing, checked 19 September 2026. Input US$0.20 and output US$1.20 per 1,000,000 tokens. https://openrouter.ai/openai/gpt-5.6-luna</t>
        </r>
      </text>
    </comment>
    <comment ref="B28" authorId="0">
      <text>
        <r>
          <rPr>
            <sz val="10"/>
            <rFont val="宋体"/>
            <charset val="134"/>
          </rPr>
          <t>Source: OpenRouter, Qwen 3.8 Max model pricing, checked 19 September 2026. Input US$2.00 and output US$6.00 per 1,000,000 tokens. https://openrouter.ai/qwen/qwen3.8-max</t>
        </r>
      </text>
    </comment>
  </commentList>
</comments>
</file>

<file path=xl/sharedStrings.xml><?xml version="1.0" encoding="utf-8"?>
<sst xmlns="http://schemas.openxmlformats.org/spreadsheetml/2006/main" count="361" uniqueCount="313">
  <si>
    <t>PE6201 A2 — D6 Final Cost Data and Ledger</t>
  </si>
  <si>
    <t>Seven submitted model/configuration entries. Monthly ranking uses the five comparable full v2 batteries; Claude is negative-only and GPT-4o mini v1 uses a separate controlled set.</t>
  </si>
  <si>
    <t>Model</t>
  </si>
  <si>
    <t>Model ID</t>
  </si>
  <si>
    <t>Cases</t>
  </si>
  <si>
    <t>Trials</t>
  </si>
  <si>
    <t>Passed</t>
  </si>
  <si>
    <t>Code-check
Pass Rate</t>
  </si>
  <si>
    <t>Approve Passed</t>
  </si>
  <si>
    <t>Negative Passed</t>
  </si>
  <si>
    <t>Median Turns</t>
  </si>
  <si>
    <t>Worst Turns</t>
  </si>
  <si>
    <t>Input Tokens</t>
  </si>
  <si>
    <t>Output Tokens</t>
  </si>
  <si>
    <t>Total Tokens</t>
  </si>
  <si>
    <t>Layer 1 Total Model Cost (US$)</t>
  </si>
  <si>
    <t>Layer 1 Cost / Trial (US$)</t>
  </si>
  <si>
    <t>Expected Fallback / Trial (US$)</t>
  </si>
  <si>
    <t>Expected Cost / Trial
(Layer 1 + Layer 2, US$)</t>
  </si>
  <si>
    <t>Difference vs US$7.60 proxy (US$)</t>
  </si>
  <si>
    <t>GPT-4o mini</t>
  </si>
  <si>
    <t>openai/gpt-4o-mini</t>
  </si>
  <si>
    <t>40/40</t>
  </si>
  <si>
    <t>69/69</t>
  </si>
  <si>
    <t>Gemini 3.8 Flash</t>
  </si>
  <si>
    <t>google/gemini-3.8-flash</t>
  </si>
  <si>
    <t>36/40</t>
  </si>
  <si>
    <t>64/69</t>
  </si>
  <si>
    <t>GPT-5.6 Luna</t>
  </si>
  <si>
    <t>openai/gpt-5.6-luna</t>
  </si>
  <si>
    <t>68/69</t>
  </si>
  <si>
    <t>Qwen 3.8 Max</t>
  </si>
  <si>
    <t>qwen/qwen3.8-max</t>
  </si>
  <si>
    <t>67/69</t>
  </si>
  <si>
    <t>DeepSeek Flash Latest</t>
  </si>
  <si>
    <t>~deepseek/deepseek-flash-latest</t>
  </si>
  <si>
    <t>37/40</t>
  </si>
  <si>
    <t>66/69</t>
  </si>
  <si>
    <t>Claude Sonnet 5 v2</t>
  </si>
  <si>
    <t>anthropic/claude-sonnet-5</t>
  </si>
  <si>
    <t>not tested</t>
  </si>
  <si>
    <t>GPT-4o mini v1</t>
  </si>
  <si>
    <t>openai/gpt-4o-mini (v1 configuration)</t>
  </si>
  <si>
    <t>not separated</t>
  </si>
  <si>
    <t>D6 Assumptions &amp; Cost Formula</t>
  </si>
  <si>
    <t>Input / Assumption</t>
  </si>
  <si>
    <t>Value</t>
  </si>
  <si>
    <t>Manual processing rate (US$/hour)</t>
  </si>
  <si>
    <t>Manual review time per failed claim (minutes)</t>
  </si>
  <si>
    <t>Failure / human fallback cost (US$)</t>
  </si>
  <si>
    <t>Evaluation cases</t>
  </si>
  <si>
    <t>Trials per model</t>
  </si>
  <si>
    <t>Approve trials</t>
  </si>
  <si>
    <t>Negative trials</t>
  </si>
  <si>
    <t>Cost formula</t>
  </si>
  <si>
    <t>Definition</t>
  </si>
  <si>
    <t>Layer 1 cost / trial</t>
  </si>
  <si>
    <t>Total repriced model cost ÷ trials</t>
  </si>
  <si>
    <t>Expected fallback / trial</t>
  </si>
  <si>
    <t>(1 − code-check pass rate) × US$7.60</t>
  </si>
  <si>
    <t>Expected cost / trial (Layer 1 + Layer 2)</t>
  </si>
  <si>
    <t>Layer 1 cost / trial + expected fallback / trial</t>
  </si>
  <si>
    <t>Data source: WSM's 19 Sep 2026 memo (measured tokens, code-check outcomes and turns). Layer 1 is recalculated from the prices below; raw JSON cost_usd uses uniform rates and is excluded. Costs are uncached token-price estimates, not reconciled billing charges. Code-check pass rates do not replace judgement checks.</t>
  </si>
  <si>
    <t>Model token prices (US$ per 1M tokens)</t>
  </si>
  <si>
    <t>Input US$ / 1M</t>
  </si>
  <si>
    <t>Output US$ / 1M</t>
  </si>
  <si>
    <t>Price date</t>
  </si>
  <si>
    <t>Claude Sonnet 5</t>
  </si>
  <si>
    <t>Source: OpenRouter pricing pages checked 19 Sep 2026. DeepSeek Flash Latest currently lists US$0.15/M input and US$0.60/M output. Gemini 2.5 Flash is excluded from the formal D6 five-model comparison per the team's latest model selection. No prompt-caching discount is assumed.</t>
  </si>
  <si>
    <t>Additional D6 inputs</t>
  </si>
  <si>
    <t>Evidence status</t>
  </si>
  <si>
    <t>Monthly claim volume</t>
  </si>
  <si>
    <t>Assignment Appendix A p26</t>
  </si>
  <si>
    <t>Retrieval and external tool fee per task</t>
  </si>
  <si>
    <t>Assumed zero for local fixture tools; amend if charged</t>
  </si>
  <si>
    <t>Storage per month</t>
  </si>
  <si>
    <t>Planning assumption: low-volume secure storage and log retention.</t>
  </si>
  <si>
    <t>Infrastructure per month</t>
  </si>
  <si>
    <t>Planning assumption: managed application and database hosting.</t>
  </si>
  <si>
    <t>Evaluation runs per month</t>
  </si>
  <si>
    <t>Planning assumption: two analyst hours plus one GPT-4o mini full-battery token run each month.</t>
  </si>
  <si>
    <t>Monitoring per month</t>
  </si>
  <si>
    <t>Planning assumption: two analyst hours per month at US$38/hour.</t>
  </si>
  <si>
    <t>Maintenance per month</t>
  </si>
  <si>
    <t>Planning assumption: four maintenance hours per month at US$38/hour.</t>
  </si>
  <si>
    <t>Fixed monthly total K</t>
  </si>
  <si>
    <t>Planning estimate; replace with invoices and time records before deployment.</t>
  </si>
  <si>
    <t>Step cap</t>
  </si>
  <si>
    <t>Observed runtime control.</t>
  </si>
  <si>
    <t>Per-run budget ceiling</t>
  </si>
  <si>
    <t>Observed MAX_TOKENS_PER_RUN control in the submitted repository.</t>
  </si>
  <si>
    <t>Monthly limit per user</t>
  </si>
  <si>
    <t>Planning cap: 200 claims and US$175 per user per month, whichever is reached first; assumes 40 users.</t>
  </si>
  <si>
    <t>Manual task cost benchmark</t>
  </si>
  <si>
    <t>Proxy equals failure handling cost; not measured manual baseline</t>
  </si>
  <si>
    <t>Success sensitivity change</t>
  </si>
  <si>
    <t>Required +/-10 percentage points; bounded at 0 and 1</t>
  </si>
  <si>
    <t>Lower failure cost multiplier</t>
  </si>
  <si>
    <t>Illustrative sensitivity only</t>
  </si>
  <si>
    <t>Upper failure cost multiplier</t>
  </si>
  <si>
    <t>Illustrative monthly fixed cost</t>
  </si>
  <si>
    <t>Scenario only; not a measured overhead estimate</t>
  </si>
  <si>
    <t>The fixed-cost entries are transparent planning assumptions, not observed invoices. The active Layer 3 estimate is used in monthly totals.</t>
  </si>
  <si>
    <t>No caching discount is assumed. Claude Sonnet 5 is priced at the standard OpenRouter rate of US$2/M input and US$10/M output; its 69/69 result is negative-only.</t>
  </si>
  <si>
    <t>Prices independently checked on OpenRouter on 19 Sep 2026. Gemini 3.8 Flash rate is promotional. Qwen alias redirects to qwen3.8-max-0902; retain actual response model ID.</t>
  </si>
  <si>
    <t>Input price /1M</t>
  </si>
  <si>
    <t>Output price /1M</t>
  </si>
  <si>
    <t>Source URL</t>
  </si>
  <si>
    <t>https://openrouter.ai/openai/gpt-4o-mini</t>
  </si>
  <si>
    <t>https://openrouter.ai/google/gemini-3.8-flash</t>
  </si>
  <si>
    <t>https://openrouter.ai/openai/gpt-5.6-luna</t>
  </si>
  <si>
    <t>https://openrouter.ai/qwen/qwen3.8-max</t>
  </si>
  <si>
    <t>https://openrouter.ai/~deepseek/deepseek-flash-latest/</t>
  </si>
  <si>
    <t>https://openrouter.ai/anthropic</t>
  </si>
  <si>
    <t>Raw GPT-4o-mini trace reconciliation (new evidence)</t>
  </si>
  <si>
    <t>Source file</t>
  </si>
  <si>
    <t>results_live_gpt4o-mini.json</t>
  </si>
  <si>
    <t>Evidence use</t>
  </si>
  <si>
    <t>Supplied raw live trace; reconciles battery counts and usage</t>
  </si>
  <si>
    <t>Live trials / passes</t>
  </si>
  <si>
    <t>109 / 109</t>
  </si>
  <si>
    <t>Confirms 100% code-check pass for this model only</t>
  </si>
  <si>
    <t>Distinct cases</t>
  </si>
  <si>
    <t>Matches the final evaluation set size</t>
  </si>
  <si>
    <t>Median / worst turns</t>
  </si>
  <si>
    <t>4 / 5</t>
  </si>
  <si>
    <t>Supports turn-distribution evidence for this model</t>
  </si>
  <si>
    <t>Input tokens</t>
  </si>
  <si>
    <t>Matches D6 Cost Ledger input total</t>
  </si>
  <si>
    <t>Output tokens</t>
  </si>
  <si>
    <t>Matches D6 Cost Ledger output total</t>
  </si>
  <si>
    <t>Raw runtime cost_usd</t>
  </si>
  <si>
    <t>Preserved as raw runtime figure; NOT used for formal list-price comparison</t>
  </si>
  <si>
    <t>Configured step cap</t>
  </si>
  <si>
    <t>8 turns</t>
  </si>
  <si>
    <t>Closes the step-cap item only; other two shipped caps remain missing</t>
  </si>
  <si>
    <t>Judgement queue planning cost</t>
  </si>
  <si>
    <t>Items in five full v2 batteries</t>
  </si>
  <si>
    <t>5 × 63 case-level judgement items</t>
  </si>
  <si>
    <t>Claude negative-set items</t>
  </si>
  <si>
    <t>Negative cases only</t>
  </si>
  <si>
    <t>GPT-4o mini v1 items</t>
  </si>
  <si>
    <t>Controlled prompt-test cases</t>
  </si>
  <si>
    <t>Review minutes per item</t>
  </si>
  <si>
    <t>Planning assumption</t>
  </si>
  <si>
    <t>One-off judgement queue cost</t>
  </si>
  <si>
    <t>Estimated completion cost; not evidence that grading has been performed</t>
  </si>
  <si>
    <t>The US$447.13 judgement amount is a labour budget. A completed queue still requires verdicts, reason/evidence ratings and grader identity.</t>
  </si>
  <si>
    <t>Ready for Part B — Updated Formal Five v2 Models</t>
  </si>
  <si>
    <t>Layer 1 / Trial</t>
  </si>
  <si>
    <t>Fallback / Trial</t>
  </si>
  <si>
    <t>Expected Cost / Trial
(Layer 1 + Layer 2)</t>
  </si>
  <si>
    <t>Difference vs manual proxy</t>
  </si>
  <si>
    <t>Cost as % of manual proxy</t>
  </si>
  <si>
    <t>Failures / 109</t>
  </si>
  <si>
    <t>Notes for Analysis</t>
  </si>
  <si>
    <t>109/109 code-check pass; runtime correction still occurred.</t>
  </si>
  <si>
    <t>100/109; lowest pass rate in formal five and high output-token usage.</t>
  </si>
  <si>
    <t>108/109; one negative failure and many final rejections.</t>
  </si>
  <si>
    <t>107/109; two negative failures and the highest Layer 1 token bill.</t>
  </si>
  <si>
    <t>103/109; six backend_unavailable stops from empty content. DeepSeek price verified separately for D6.</t>
  </si>
  <si>
    <t>Sensitivity —
Code-check Pass Rate</t>
  </si>
  <si>
    <t>Expected Cost / Trial</t>
  </si>
  <si>
    <t>Assumed Layer 1 / Trial</t>
  </si>
  <si>
    <t>Useful interpretation for B</t>
  </si>
  <si>
    <t>The human fallback term can dominate token cost: every 1 percentage-point reduction in code-check pass rate adds US$0.076 expected cost per trial (= 1% × US$7.60), before model-token cost. Use the five-model expected costs (Layer 1 + Layer 2) above for the main comparison; the sensitivity table is a scenario illustration.</t>
  </si>
  <si>
    <t>The US$7.60 comparator is the assignment failure-handling cost, not a measured manual cost per ordinary claim. Differences are illustrative, not verified ROI.</t>
  </si>
  <si>
    <t>Formal monthly ranking uses five full v2 batteries. Claude Sonnet 5 (69 negative trials) and GPT-4o mini v1 (33 controlled trials) are costed separately because their scopes differ.</t>
  </si>
  <si>
    <t>D6 cost analysis and sensitivity</t>
  </si>
  <si>
    <t>Problem A | US dollars | 8,000 claims/month | 19 Sep 2026 battery | Five comparable full v2 models; Layer 3 planning estimate K is included.</t>
  </si>
  <si>
    <t>Code pass rate</t>
  </si>
  <si>
    <t>Variable /task</t>
  </si>
  <si>
    <t>Fallback /task</t>
  </si>
  <si>
    <t>Expected /task</t>
  </si>
  <si>
    <t>Tokens /month</t>
  </si>
  <si>
    <t>Fallback /month</t>
  </si>
  <si>
    <t>Subtotal /month</t>
  </si>
  <si>
    <t>Total incl K</t>
  </si>
  <si>
    <t>Fallback share</t>
  </si>
  <si>
    <t>Headline: GPT-4o mini has the lowest modelled monthly total at the observed code-check rate. Fixed costs are planning assumptions and all success rates remain code-check results.</t>
  </si>
  <si>
    <t>Five-model evaluation token cost</t>
  </si>
  <si>
    <t>One-off judgement queue completion budget</t>
  </si>
  <si>
    <t>The judgement amount estimates reviewer labour only; it does not imply that the queue has been graded.</t>
  </si>
  <si>
    <t>Change in p</t>
  </si>
  <si>
    <t>Scenario p</t>
  </si>
  <si>
    <t>Monthly incl K</t>
  </si>
  <si>
    <t>Change /month</t>
  </si>
  <si>
    <t>A common -10 pp shift preserves the observed cost ordering because every model receives the same US$0.76/task fallback penalty. Independent pass-rate changes can change the ordering.</t>
  </si>
  <si>
    <t>Comparator</t>
  </si>
  <si>
    <t>Comparator p</t>
  </si>
  <si>
    <t>GPT mini C</t>
  </si>
  <si>
    <t>Comparator E</t>
  </si>
  <si>
    <t>Mini break-even p</t>
  </si>
  <si>
    <t>Observed mini p</t>
  </si>
  <si>
    <t>Headroom pp</t>
  </si>
  <si>
    <t>Clears threshold</t>
  </si>
  <si>
    <t>Break-even assumes equal fixed costs and comparable task mix. With unequal K, mini p* = 1 - [E - C + (K comparator - K mini)/V]/F.</t>
  </si>
  <si>
    <t>Mini success p</t>
  </si>
  <si>
    <t>F = 0.5x</t>
  </si>
  <si>
    <t>F = 1.0x</t>
  </si>
  <si>
    <t>F = 1.5x</t>
  </si>
  <si>
    <t>Monthly cost includes K</t>
  </si>
  <si>
    <t>Failure cost US$</t>
  </si>
  <si>
    <t>Driver test</t>
  </si>
  <si>
    <t>Change</t>
  </si>
  <si>
    <t>Monthly impact US$</t>
  </si>
  <si>
    <t>Interpretation</t>
  </si>
  <si>
    <t>Success rate falls</t>
  </si>
  <si>
    <t>1 percentage point</t>
  </si>
  <si>
    <t>All models</t>
  </si>
  <si>
    <t>Mini token bill falls</t>
  </si>
  <si>
    <t>50%</t>
  </si>
  <si>
    <t>Only $8.50 saved</t>
  </si>
  <si>
    <t>Luna failure cost rises</t>
  </si>
  <si>
    <t>At measured p</t>
  </si>
  <si>
    <t>Mini volume rises</t>
  </si>
  <si>
    <t>10%</t>
  </si>
  <si>
    <t>K held constant</t>
  </si>
  <si>
    <t>Fixed cost K rises</t>
  </si>
  <si>
    <t>US$100/month</t>
  </si>
  <si>
    <t>Fixed monthly cost K scenario</t>
  </si>
  <si>
    <t>Mini monthly total</t>
  </si>
  <si>
    <t>Monthly cost / claim</t>
  </si>
  <si>
    <t>The active K is a planning estimate. Replace it with measured invoices and staff time before claiming realised production cost.</t>
  </si>
  <si>
    <t>Mini p</t>
  </si>
  <si>
    <t>Success rate</t>
  </si>
  <si>
    <t>D6 cost levers and evidence</t>
  </si>
  <si>
    <t>Source: D2 supplementary tests, 19 Sep 2026. These are separate experiments from the 63-case five-model battery.</t>
  </si>
  <si>
    <t>Lever</t>
  </si>
  <si>
    <t>Before</t>
  </si>
  <si>
    <t>After</t>
  </si>
  <si>
    <t>Unit</t>
  </si>
  <si>
    <t>Tool block B</t>
  </si>
  <si>
    <t>characters</t>
  </si>
  <si>
    <t>Measured characters</t>
  </si>
  <si>
    <t>Turns T</t>
  </si>
  <si>
    <t>turns</t>
  </si>
  <si>
    <t>One scripted case</t>
  </si>
  <si>
    <t>Observation D</t>
  </si>
  <si>
    <t>Controlled scripted path</t>
  </si>
  <si>
    <t>Success p</t>
  </si>
  <si>
    <t>pass rate</t>
  </si>
  <si>
    <t>15 cases; 33 trials each</t>
  </si>
  <si>
    <t>Tool tokens before/after are estimates (characters/4), not tokeniser measurements. The tool block increased by 9.3%; no saving is claimed.</t>
  </si>
  <si>
    <t>Sequential versus parallel: 79,200 vs 24,600 total simulated tokens; 1/1 correct each after relaxing sequential caps. Original sequential cap stopped at 8 turns; 0/1 passed.</t>
  </si>
  <si>
    <t>Simulated sequential/parallel costs are NOT D6 inputs. Live matched input-token measurements remain missing. Controlled observation size did not change.</t>
  </si>
  <si>
    <t>Controlled live prompt test</t>
  </si>
  <si>
    <t>v1</t>
  </si>
  <si>
    <t>v2</t>
  </si>
  <si>
    <t>Units or interpretation</t>
  </si>
  <si>
    <t>15 cases; 9 negative implied</t>
  </si>
  <si>
    <t>Code checks</t>
  </si>
  <si>
    <t>Provider measured</t>
  </si>
  <si>
    <t>Raw reported cost</t>
  </si>
  <si>
    <t>Not used for list-price baseline</t>
  </si>
  <si>
    <t>List-price token cost</t>
  </si>
  <si>
    <t>Repriced at 0.15 / 0.60 per million</t>
  </si>
  <si>
    <t>Token cost per trial</t>
  </si>
  <si>
    <t>US$</t>
  </si>
  <si>
    <t>Measured pass rate</t>
  </si>
  <si>
    <t>Separate from five-model battery</t>
  </si>
  <si>
    <t>Expected cost per task</t>
  </si>
  <si>
    <t>Escalate on failure</t>
  </si>
  <si>
    <t>Monthly subtotal</t>
  </si>
  <si>
    <t>US$, 8,000 claims; excludes K</t>
  </si>
  <si>
    <t>Observation characters</t>
  </si>
  <si>
    <t>Live paths differ</t>
  </si>
  <si>
    <t>Observation messages</t>
  </si>
  <si>
    <t>Characters per message</t>
  </si>
  <si>
    <t>Derived mean</t>
  </si>
  <si>
    <t>Monthly saving from v1 to v2</t>
  </si>
  <si>
    <t>The observed v1/v2 improvement is 57.58 percentage points. Prompt text and validation strictness changed; attribute the result to the prompt configuration, not wording alone.</t>
  </si>
  <si>
    <t>Required evidence</t>
  </si>
  <si>
    <t>Status</t>
  </si>
  <si>
    <t>What to supply</t>
  </si>
  <si>
    <t>Fixed monthly costs</t>
  </si>
  <si>
    <t>Planning assumptions entered</t>
  </si>
  <si>
    <t>Storage US$20, infrastructure US$100, evaluation US$76.23, monitoring US$76 and maintenance US$152; K = US$424.23/month.</t>
  </si>
  <si>
    <t>Final run configuration</t>
  </si>
  <si>
    <t>Partial</t>
  </si>
  <si>
    <t>Step and budget caps are evidenced; common commit, prompt hash and shared run identifiers still needed.</t>
  </si>
  <si>
    <t>Judgement checks</t>
  </si>
  <si>
    <t>Costed; results pending</t>
  </si>
  <si>
    <t>353 items × 2 minutes × US$38/hour = US$447.13 one-off. Verdicts and grader identity are still required.</t>
  </si>
  <si>
    <t>Shipped caps</t>
  </si>
  <si>
    <t>Observed plus planning cap</t>
  </si>
  <si>
    <t>8 turns and 60,000 recorded tokens/run are in the repository. Planning user cap is 200 claims or US$175/month.</t>
  </si>
  <si>
    <t>Four-lever measurements</t>
  </si>
  <si>
    <t>Exact tool/observation tokeniser counts and matched live sequential/parallel input-token measurements still missing.</t>
  </si>
  <si>
    <t>Operational workload</t>
  </si>
  <si>
    <t>Missing</t>
  </si>
  <si>
    <t>Production case mix, correct escalation rate, approval labour and recovery coverage.</t>
  </si>
  <si>
    <t>Model family / formal v2 set</t>
  </si>
  <si>
    <t>Team selection updated</t>
  </si>
  <si>
    <t>Gemini 2.5 Flash removed from the formal five-model D6 comparison; DeepSeek Flash Latest added. Any remaining family-rule interpretation belongs to D5.</t>
  </si>
  <si>
    <t>Expanded evaluation set</t>
  </si>
  <si>
    <t>Explain expansion</t>
  </si>
  <si>
    <t>63 cases / 109 trials exceed expected 40 / 56; extra runs are allowed, document why.</t>
  </si>
  <si>
    <t>GPT-4o-mini raw live trace</t>
  </si>
  <si>
    <t>Supplied</t>
  </si>
  <si>
    <t>109 trials / 109 passes; 63 cases; median 4, worst 5 turns; input 1,369,108; output 43,694; config cap=8 turns.</t>
  </si>
  <si>
    <t>D5 scripted reproducibility</t>
  </si>
  <si>
    <t>Not established here</t>
  </si>
  <si>
    <t>D2 supplement shows 1/1 scripted regression; supply the full scripted evaluation set and reproducible repository.</t>
  </si>
  <si>
    <t>Source reconciliation: 40 ordinary + 23 negative cases = 63 cases; 40 + 23 x 3 = 109 trials. Negative trials are 63.30% of the battery, not an observed production share.</t>
  </si>
  <si>
    <t>At 100% code-check success, the formula yields zero failure-recovery cost only. Correct escalations and human confirmation may still consume labour and require a separate operational cost model.</t>
  </si>
  <si>
    <t>The workbook is a completed analytical extension, not a certification of all D0-D7 requirements. See the report for assumptions, derivations and submission actions.</t>
  </si>
  <si>
    <t>Claude Sonnet 5 price and scope</t>
  </si>
  <si>
    <t>US$2/M input</t>
  </si>
  <si>
    <t>US$10/M output</t>
  </si>
  <si>
    <t>69/69 negative trials</t>
  </si>
  <si>
    <t>US$2.1334 total token cost</t>
  </si>
  <si>
    <t>No positive-case evidence; excluded from full-battery ranking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</si>
</sst>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\$0.000000"/>
    <numFmt numFmtId="178" formatCode="&quot;$&quot;#,##0.00;\(&quot;$&quot;#,##0.00\);&quot;$&quot;0.00"/>
    <numFmt numFmtId="179" formatCode="0.0"/>
    <numFmt numFmtId="180" formatCode="\$0.000000;[Red]\(\$0.000000\);\-"/>
    <numFmt numFmtId="181" formatCode="\$#,##0.00;[Red]\(\$#,##0.00\);\-"/>
    <numFmt numFmtId="182" formatCode="\$#,##0.00"/>
    <numFmt numFmtId="183" formatCode="\$#,##0.00;\(\$#,##0.00\);\-"/>
    <numFmt numFmtId="184" formatCode="0.000%"/>
    <numFmt numFmtId="185" formatCode="0.0000"/>
    <numFmt numFmtId="186" formatCode="\$0.0000;[Red]\(\$0.0000\);\-"/>
    <numFmt numFmtId="187" formatCode="\$0.00;[Red]\(\$0.00\);\-"/>
    <numFmt numFmtId="188" formatCode="\$0.00"/>
    <numFmt numFmtId="189" formatCode="yyyy\-mm\-dd"/>
  </numFmts>
  <fonts count="37">
    <font>
      <sz val="11"/>
      <name val="Carlito"/>
      <charset val="134"/>
    </font>
    <font>
      <sz val="11"/>
      <name val="Arial"/>
      <charset val="134"/>
    </font>
    <font>
      <b/>
      <sz val="16"/>
      <name val="Arial"/>
      <charset val="134"/>
    </font>
    <font>
      <b/>
      <sz val="11"/>
      <color rgb="FFFFFFFF"/>
      <name val="Arial"/>
      <charset val="134"/>
    </font>
    <font>
      <b/>
      <sz val="10"/>
      <color rgb="FFFFFFFF"/>
      <name val="Arial"/>
      <charset val="134"/>
    </font>
    <font>
      <sz val="10"/>
      <color rgb="FF000000"/>
      <name val="Arial"/>
      <charset val="134"/>
    </font>
    <font>
      <sz val="11"/>
      <color rgb="FF000000"/>
      <name val="Arial"/>
      <charset val="134"/>
    </font>
    <font>
      <b/>
      <sz val="16"/>
      <color rgb="FFFFFFFF"/>
      <name val="Carlito"/>
      <charset val="134"/>
    </font>
    <font>
      <b/>
      <sz val="11"/>
      <color rgb="FFFFFFFF"/>
      <name val="Carlito"/>
      <charset val="134"/>
    </font>
    <font>
      <sz val="11"/>
      <color rgb="FF008000"/>
      <name val="Carlito"/>
      <charset val="134"/>
    </font>
    <font>
      <sz val="11"/>
      <color rgb="FF0000FF"/>
      <name val="Carlito"/>
      <charset val="134"/>
    </font>
    <font>
      <sz val="11"/>
      <color rgb="FF000000"/>
      <name val="Carlito"/>
      <charset val="134"/>
    </font>
    <font>
      <i/>
      <sz val="11"/>
      <name val="Carlito"/>
      <charset val="134"/>
    </font>
    <font>
      <b/>
      <sz val="11"/>
      <color rgb="FF1F4E78"/>
      <name val="Carlito"/>
      <charset val="134"/>
    </font>
    <font>
      <i/>
      <sz val="11"/>
      <color rgb="FF404040"/>
      <name val="Carlito"/>
      <charset val="134"/>
    </font>
    <font>
      <b/>
      <sz val="11"/>
      <name val="Carlito"/>
      <charset val="134"/>
    </font>
    <font>
      <i/>
      <sz val="11"/>
      <color rgb="FF1F1F1F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204F7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2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7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10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11" borderId="7" applyNumberFormat="0" applyAlignment="0" applyProtection="0">
      <alignment vertical="center"/>
    </xf>
    <xf numFmtId="0" fontId="27" fillId="7" borderId="8" applyNumberFormat="0" applyAlignment="0" applyProtection="0">
      <alignment vertical="center"/>
    </xf>
    <xf numFmtId="0" fontId="28" fillId="7" borderId="7" applyNumberFormat="0" applyAlignment="0" applyProtection="0">
      <alignment vertical="center"/>
    </xf>
    <xf numFmtId="0" fontId="29" fillId="12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7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5" fillId="36" borderId="0" applyNumberFormat="0" applyBorder="0" applyAlignment="0" applyProtection="0">
      <alignment vertical="center"/>
    </xf>
    <xf numFmtId="0" fontId="17" fillId="37" borderId="0" applyNumberFormat="0" applyBorder="0" applyAlignment="0" applyProtection="0">
      <alignment vertical="center"/>
    </xf>
    <xf numFmtId="0" fontId="17" fillId="38" borderId="0" applyNumberFormat="0" applyBorder="0" applyAlignment="0" applyProtection="0">
      <alignment vertical="center"/>
    </xf>
    <xf numFmtId="0" fontId="35" fillId="39" borderId="0" applyNumberFormat="0" applyBorder="0" applyAlignment="0" applyProtection="0">
      <alignment vertical="center"/>
    </xf>
    <xf numFmtId="0" fontId="0" fillId="0" borderId="0"/>
  </cellStyleXfs>
  <cellXfs count="67">
    <xf numFmtId="0" fontId="0" fillId="0" borderId="0" xfId="49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vertical="center" wrapText="1"/>
    </xf>
    <xf numFmtId="0" fontId="3" fillId="2" borderId="0" xfId="0" applyNumberFormat="1" applyFont="1" applyFill="1" applyBorder="1" applyAlignment="1">
      <alignment vertical="center" wrapText="1"/>
    </xf>
    <xf numFmtId="176" fontId="1" fillId="0" borderId="0" xfId="0" applyNumberFormat="1" applyFont="1" applyFill="1" applyBorder="1" applyAlignment="1">
      <alignment vertical="center"/>
    </xf>
    <xf numFmtId="10" fontId="1" fillId="0" borderId="0" xfId="0" applyNumberFormat="1" applyFont="1" applyFill="1" applyBorder="1" applyAlignment="1">
      <alignment vertical="center"/>
    </xf>
    <xf numFmtId="177" fontId="1" fillId="0" borderId="0" xfId="0" applyNumberFormat="1" applyFont="1" applyFill="1" applyBorder="1" applyAlignment="1">
      <alignment vertical="center"/>
    </xf>
    <xf numFmtId="178" fontId="1" fillId="0" borderId="0" xfId="0" applyNumberFormat="1" applyFont="1" applyFill="1" applyBorder="1" applyAlignment="1">
      <alignment vertical="center"/>
    </xf>
    <xf numFmtId="179" fontId="1" fillId="0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vertical="center" wrapText="1"/>
    </xf>
    <xf numFmtId="180" fontId="1" fillId="0" borderId="0" xfId="0" applyNumberFormat="1" applyFont="1" applyFill="1" applyBorder="1" applyAlignment="1">
      <alignment vertical="center"/>
    </xf>
    <xf numFmtId="181" fontId="1" fillId="0" borderId="0" xfId="0" applyNumberFormat="1" applyFont="1" applyFill="1" applyBorder="1" applyAlignment="1">
      <alignment vertical="center"/>
    </xf>
    <xf numFmtId="182" fontId="1" fillId="0" borderId="0" xfId="0" applyNumberFormat="1" applyFont="1" applyFill="1" applyBorder="1" applyAlignment="1">
      <alignment vertical="center"/>
    </xf>
    <xf numFmtId="182" fontId="6" fillId="0" borderId="0" xfId="0" applyNumberFormat="1" applyFont="1" applyFill="1" applyBorder="1" applyAlignment="1">
      <alignment vertical="center" wrapText="1"/>
    </xf>
    <xf numFmtId="183" fontId="1" fillId="0" borderId="0" xfId="0" applyNumberFormat="1" applyFont="1" applyFill="1" applyBorder="1" applyAlignment="1">
      <alignment vertical="center"/>
    </xf>
    <xf numFmtId="184" fontId="1" fillId="0" borderId="0" xfId="0" applyNumberFormat="1" applyFont="1" applyFill="1" applyBorder="1" applyAlignment="1">
      <alignment vertical="center"/>
    </xf>
    <xf numFmtId="185" fontId="1" fillId="0" borderId="0" xfId="0" applyNumberFormat="1" applyFont="1" applyFill="1" applyBorder="1" applyAlignment="1">
      <alignment vertical="center"/>
    </xf>
    <xf numFmtId="9" fontId="1" fillId="0" borderId="0" xfId="0" applyNumberFormat="1" applyFont="1" applyFill="1" applyBorder="1" applyAlignment="1">
      <alignment vertical="center"/>
    </xf>
    <xf numFmtId="0" fontId="7" fillId="4" borderId="0" xfId="49" applyNumberFormat="1" applyFont="1" applyFill="1" applyBorder="1" applyAlignment="1">
      <alignment vertical="center" wrapText="1"/>
    </xf>
    <xf numFmtId="0" fontId="0" fillId="0" borderId="0" xfId="49" applyNumberFormat="1" applyFont="1" applyFill="1" applyBorder="1" applyAlignment="1">
      <alignment wrapText="1"/>
    </xf>
    <xf numFmtId="0" fontId="8" fillId="3" borderId="0" xfId="49" applyNumberFormat="1" applyFont="1" applyFill="1" applyBorder="1" applyAlignment="1">
      <alignment horizontal="center" vertical="center" wrapText="1"/>
    </xf>
    <xf numFmtId="0" fontId="9" fillId="0" borderId="0" xfId="49" applyNumberFormat="1" applyFont="1" applyFill="1" applyBorder="1" applyAlignment="1">
      <alignment wrapText="1"/>
    </xf>
    <xf numFmtId="10" fontId="9" fillId="0" borderId="0" xfId="0" applyNumberFormat="1" applyFont="1" applyFill="1" applyBorder="1" applyAlignment="1">
      <alignment wrapText="1"/>
    </xf>
    <xf numFmtId="180" fontId="9" fillId="0" borderId="0" xfId="0" applyNumberFormat="1" applyFont="1" applyFill="1" applyBorder="1" applyAlignment="1">
      <alignment wrapText="1"/>
    </xf>
    <xf numFmtId="1" fontId="9" fillId="0" borderId="0" xfId="49" applyNumberFormat="1" applyFont="1" applyFill="1" applyBorder="1" applyAlignment="1">
      <alignment wrapText="1"/>
    </xf>
    <xf numFmtId="0" fontId="10" fillId="0" borderId="0" xfId="0" applyNumberFormat="1" applyFont="1" applyFill="1" applyBorder="1" applyAlignment="1">
      <alignment wrapText="1"/>
    </xf>
    <xf numFmtId="10" fontId="10" fillId="0" borderId="0" xfId="49" applyNumberFormat="1" applyFont="1" applyFill="1" applyBorder="1" applyAlignment="1">
      <alignment wrapText="1"/>
    </xf>
    <xf numFmtId="186" fontId="11" fillId="0" borderId="0" xfId="49" applyNumberFormat="1" applyFont="1" applyFill="1" applyBorder="1" applyAlignment="1">
      <alignment wrapText="1"/>
    </xf>
    <xf numFmtId="0" fontId="0" fillId="5" borderId="0" xfId="49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187" fontId="10" fillId="0" borderId="0" xfId="49" applyNumberFormat="1" applyFont="1" applyFill="1" applyBorder="1" applyAlignment="1">
      <alignment wrapText="1"/>
    </xf>
    <xf numFmtId="1" fontId="10" fillId="0" borderId="0" xfId="49" applyNumberFormat="1" applyFont="1" applyFill="1" applyBorder="1" applyAlignment="1">
      <alignment wrapText="1"/>
    </xf>
    <xf numFmtId="187" fontId="11" fillId="0" borderId="0" xfId="49" applyNumberFormat="1" applyFont="1" applyFill="1" applyBorder="1" applyAlignment="1">
      <alignment wrapText="1"/>
    </xf>
    <xf numFmtId="3" fontId="10" fillId="0" borderId="0" xfId="49" applyNumberFormat="1" applyFont="1" applyFill="1" applyBorder="1" applyAlignment="1">
      <alignment wrapText="1"/>
    </xf>
    <xf numFmtId="0" fontId="12" fillId="5" borderId="0" xfId="49" applyNumberFormat="1" applyFont="1" applyFill="1" applyBorder="1" applyAlignment="1">
      <alignment vertical="center" wrapText="1"/>
    </xf>
    <xf numFmtId="0" fontId="13" fillId="6" borderId="0" xfId="49" applyNumberFormat="1" applyFont="1" applyFill="1" applyBorder="1" applyAlignment="1">
      <alignment horizontal="left" wrapText="1"/>
    </xf>
    <xf numFmtId="188" fontId="10" fillId="0" borderId="0" xfId="49" applyNumberFormat="1" applyFont="1" applyFill="1" applyBorder="1" applyAlignment="1">
      <alignment horizontal="right" wrapText="1"/>
    </xf>
    <xf numFmtId="189" fontId="0" fillId="0" borderId="0" xfId="49" applyNumberFormat="1" applyFont="1" applyFill="1" applyBorder="1" applyAlignment="1">
      <alignment horizontal="right" wrapText="1"/>
    </xf>
    <xf numFmtId="188" fontId="10" fillId="0" borderId="0" xfId="49" applyNumberFormat="1" applyFont="1" applyFill="1" applyBorder="1" applyAlignment="1">
      <alignment horizontal="right"/>
    </xf>
    <xf numFmtId="189" fontId="0" fillId="0" borderId="0" xfId="49" applyNumberFormat="1" applyFont="1" applyFill="1" applyBorder="1" applyAlignment="1">
      <alignment horizontal="right"/>
    </xf>
    <xf numFmtId="189" fontId="0" fillId="0" borderId="0" xfId="0" applyNumberFormat="1" applyFont="1" applyFill="1" applyBorder="1" applyAlignment="1"/>
    <xf numFmtId="0" fontId="14" fillId="7" borderId="0" xfId="49" applyNumberFormat="1" applyFont="1" applyFill="1" applyBorder="1" applyAlignment="1">
      <alignment vertical="center" wrapText="1"/>
    </xf>
    <xf numFmtId="0" fontId="10" fillId="0" borderId="0" xfId="0" applyNumberFormat="1" applyFont="1" applyFill="1" applyBorder="1" applyAlignment="1"/>
    <xf numFmtId="182" fontId="10" fillId="8" borderId="0" xfId="0" applyNumberFormat="1" applyFont="1" applyFill="1" applyBorder="1" applyAlignment="1"/>
    <xf numFmtId="0" fontId="10" fillId="8" borderId="0" xfId="0" applyNumberFormat="1" applyFont="1" applyFill="1" applyBorder="1" applyAlignment="1"/>
    <xf numFmtId="3" fontId="10" fillId="8" borderId="0" xfId="0" applyNumberFormat="1" applyFont="1" applyFill="1" applyBorder="1" applyAlignment="1"/>
    <xf numFmtId="0" fontId="11" fillId="0" borderId="0" xfId="0" applyNumberFormat="1" applyFont="1" applyFill="1" applyBorder="1" applyAlignment="1"/>
    <xf numFmtId="9" fontId="10" fillId="0" borderId="0" xfId="0" applyNumberFormat="1" applyFont="1" applyFill="1" applyBorder="1" applyAlignment="1"/>
    <xf numFmtId="182" fontId="10" fillId="0" borderId="0" xfId="0" applyNumberFormat="1" applyFont="1" applyFill="1" applyBorder="1" applyAlignment="1"/>
    <xf numFmtId="0" fontId="8" fillId="3" borderId="0" xfId="0" applyNumberFormat="1" applyFont="1" applyFill="1" applyBorder="1" applyAlignment="1">
      <alignment wrapText="1"/>
    </xf>
    <xf numFmtId="0" fontId="15" fillId="0" borderId="0" xfId="0" applyNumberFormat="1" applyFont="1" applyFill="1" applyBorder="1" applyAlignment="1">
      <alignment wrapText="1"/>
    </xf>
    <xf numFmtId="3" fontId="0" fillId="0" borderId="0" xfId="0" applyNumberFormat="1" applyFont="1" applyFill="1" applyBorder="1" applyAlignment="1">
      <alignment wrapText="1"/>
    </xf>
    <xf numFmtId="177" fontId="0" fillId="0" borderId="0" xfId="0" applyNumberFormat="1" applyFont="1" applyFill="1" applyBorder="1" applyAlignment="1">
      <alignment wrapText="1"/>
    </xf>
    <xf numFmtId="0" fontId="8" fillId="3" borderId="1" xfId="0" applyNumberFormat="1" applyFont="1" applyFill="1" applyBorder="1" applyAlignment="1"/>
    <xf numFmtId="0" fontId="8" fillId="3" borderId="2" xfId="0" applyNumberFormat="1" applyFont="1" applyFill="1" applyBorder="1" applyAlignment="1"/>
    <xf numFmtId="0" fontId="8" fillId="3" borderId="3" xfId="0" applyNumberFormat="1" applyFont="1" applyFill="1" applyBorder="1" applyAlignment="1"/>
    <xf numFmtId="3" fontId="0" fillId="0" borderId="0" xfId="0" applyNumberFormat="1" applyFont="1" applyFill="1" applyBorder="1" applyAlignment="1"/>
    <xf numFmtId="182" fontId="0" fillId="0" borderId="0" xfId="0" applyNumberFormat="1" applyFont="1" applyFill="1" applyBorder="1" applyAlignment="1"/>
    <xf numFmtId="0" fontId="16" fillId="9" borderId="0" xfId="49" applyNumberFormat="1" applyFont="1" applyFill="1" applyBorder="1" applyAlignment="1">
      <alignment wrapText="1"/>
    </xf>
    <xf numFmtId="3" fontId="10" fillId="0" borderId="0" xfId="0" applyNumberFormat="1" applyFont="1" applyFill="1" applyBorder="1" applyAlignment="1">
      <alignment wrapText="1"/>
    </xf>
    <xf numFmtId="10" fontId="11" fillId="0" borderId="0" xfId="0" applyNumberFormat="1" applyFont="1" applyFill="1" applyBorder="1" applyAlignment="1">
      <alignment wrapText="1"/>
    </xf>
    <xf numFmtId="3" fontId="11" fillId="0" borderId="0" xfId="0" applyNumberFormat="1" applyFont="1" applyFill="1" applyBorder="1" applyAlignment="1">
      <alignment wrapText="1"/>
    </xf>
    <xf numFmtId="180" fontId="11" fillId="0" borderId="0" xfId="0" applyNumberFormat="1" applyFont="1" applyFill="1" applyBorder="1" applyAlignment="1">
      <alignment wrapText="1"/>
    </xf>
    <xf numFmtId="10" fontId="0" fillId="0" borderId="0" xfId="0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Five-model D6 Cost Comparison</a:t>
            </a:r>
            <a:endParaRPr sz="1800" b="1" i="0" u="none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"Pass Rate"</c:f>
              <c:strCache>
                <c:ptCount val="1"/>
                <c:pt idx="0">
                  <c:v>Pass Rate</c:v>
                </c:pt>
              </c:strCache>
            </c:strRef>
          </c:tx>
          <c:invertIfNegative val="0"/>
          <c:dLbls>
            <c:delete val="1"/>
          </c:dLbls>
          <c:cat>
            <c:strRef>
              <c:f>'B Analysis Handoff'!$A$4:$A$8</c:f>
              <c:strCache>
                <c:ptCount val="5"/>
                <c:pt idx="0">
                  <c:v>GPT-4o mini</c:v>
                </c:pt>
                <c:pt idx="1">
                  <c:v>Gemini 3.8 Flash</c:v>
                </c:pt>
                <c:pt idx="2">
                  <c:v>GPT-5.6 Luna</c:v>
                </c:pt>
                <c:pt idx="3">
                  <c:v>Qwen 3.8 Max</c:v>
                </c:pt>
                <c:pt idx="4">
                  <c:v>DeepSeek Flash Latest</c:v>
                </c:pt>
              </c:strCache>
            </c:strRef>
          </c:cat>
          <c:val>
            <c:numRef>
              <c:f>'B Analysis Handoff'!$B$4:$B$8</c:f>
              <c:numCache>
                <c:formatCode>0.00%</c:formatCode>
                <c:ptCount val="5"/>
                <c:pt idx="0">
                  <c:v>1</c:v>
                </c:pt>
                <c:pt idx="1">
                  <c:v>0.917431192660551</c:v>
                </c:pt>
                <c:pt idx="2">
                  <c:v>0.990825688073395</c:v>
                </c:pt>
                <c:pt idx="3">
                  <c:v>0.981651376146789</c:v>
                </c:pt>
                <c:pt idx="4">
                  <c:v>0.944954128440367</c:v>
                </c:pt>
              </c:numCache>
            </c:numRef>
          </c:val>
        </c:ser>
        <c:ser>
          <c:idx val="1"/>
          <c:order val="1"/>
          <c:tx>
            <c:strRef>
              <c:f>"Layer 1 / Trial"</c:f>
              <c:strCache>
                <c:ptCount val="1"/>
                <c:pt idx="0">
                  <c:v>Layer 1 / Trial</c:v>
                </c:pt>
              </c:strCache>
            </c:strRef>
          </c:tx>
          <c:invertIfNegative val="0"/>
          <c:dLbls>
            <c:delete val="1"/>
          </c:dLbls>
          <c:cat>
            <c:strRef>
              <c:f>'B Analysis Handoff'!$A$4:$A$8</c:f>
              <c:strCache>
                <c:ptCount val="5"/>
                <c:pt idx="0">
                  <c:v>GPT-4o mini</c:v>
                </c:pt>
                <c:pt idx="1">
                  <c:v>Gemini 3.8 Flash</c:v>
                </c:pt>
                <c:pt idx="2">
                  <c:v>GPT-5.6 Luna</c:v>
                </c:pt>
                <c:pt idx="3">
                  <c:v>Qwen 3.8 Max</c:v>
                </c:pt>
                <c:pt idx="4">
                  <c:v>DeepSeek Flash Latest</c:v>
                </c:pt>
              </c:strCache>
            </c:strRef>
          </c:cat>
          <c:val>
            <c:numRef>
              <c:f>'B Analysis Handoff'!$C$4:$C$8</c:f>
              <c:numCache>
                <c:formatCode>"$"0.000000;[Red]\("$"0.000000\);\-</c:formatCode>
                <c:ptCount val="5"/>
                <c:pt idx="0">
                  <c:v>0.00212461100917431</c:v>
                </c:pt>
                <c:pt idx="1">
                  <c:v>0.0157102362385321</c:v>
                </c:pt>
                <c:pt idx="2">
                  <c:v>0.00329247155963303</c:v>
                </c:pt>
                <c:pt idx="3">
                  <c:v>0.026419119266055</c:v>
                </c:pt>
                <c:pt idx="4">
                  <c:v>0.00172702018348624</c:v>
                </c:pt>
              </c:numCache>
            </c:numRef>
          </c:val>
        </c:ser>
        <c:ser>
          <c:idx val="2"/>
          <c:order val="2"/>
          <c:tx>
            <c:strRef>
              <c:f>"Fallback / Trial"</c:f>
              <c:strCache>
                <c:ptCount val="1"/>
                <c:pt idx="0">
                  <c:v>Fallback / Trial</c:v>
                </c:pt>
              </c:strCache>
            </c:strRef>
          </c:tx>
          <c:invertIfNegative val="0"/>
          <c:dLbls>
            <c:delete val="1"/>
          </c:dLbls>
          <c:cat>
            <c:strRef>
              <c:f>'B Analysis Handoff'!$A$4:$A$8</c:f>
              <c:strCache>
                <c:ptCount val="5"/>
                <c:pt idx="0">
                  <c:v>GPT-4o mini</c:v>
                </c:pt>
                <c:pt idx="1">
                  <c:v>Gemini 3.8 Flash</c:v>
                </c:pt>
                <c:pt idx="2">
                  <c:v>GPT-5.6 Luna</c:v>
                </c:pt>
                <c:pt idx="3">
                  <c:v>Qwen 3.8 Max</c:v>
                </c:pt>
                <c:pt idx="4">
                  <c:v>DeepSeek Flash Latest</c:v>
                </c:pt>
              </c:strCache>
            </c:strRef>
          </c:cat>
          <c:val>
            <c:numRef>
              <c:f>'B Analysis Handoff'!$D$4:$D$8</c:f>
              <c:numCache>
                <c:formatCode>"$"0.000000;[Red]\("$"0.000000\);\-</c:formatCode>
                <c:ptCount val="5"/>
                <c:pt idx="0">
                  <c:v>0</c:v>
                </c:pt>
                <c:pt idx="1">
                  <c:v>0.627522935779816</c:v>
                </c:pt>
                <c:pt idx="2">
                  <c:v>0.0697247706422014</c:v>
                </c:pt>
                <c:pt idx="3">
                  <c:v>0.139449541284404</c:v>
                </c:pt>
                <c:pt idx="4">
                  <c:v>0.418348623853211</c:v>
                </c:pt>
              </c:numCache>
            </c:numRef>
          </c:val>
        </c:ser>
        <c:ser>
          <c:idx val="3"/>
          <c:order val="3"/>
          <c:tx>
            <c:strRef>
              <c:f>"Layer 2 / Trial"</c:f>
              <c:strCache>
                <c:ptCount val="1"/>
                <c:pt idx="0">
                  <c:v>Layer 2 / Trial</c:v>
                </c:pt>
              </c:strCache>
            </c:strRef>
          </c:tx>
          <c:invertIfNegative val="0"/>
          <c:dLbls>
            <c:delete val="1"/>
          </c:dLbls>
          <c:cat>
            <c:strRef>
              <c:f>'B Analysis Handoff'!$A$4:$A$8</c:f>
              <c:strCache>
                <c:ptCount val="5"/>
                <c:pt idx="0">
                  <c:v>GPT-4o mini</c:v>
                </c:pt>
                <c:pt idx="1">
                  <c:v>Gemini 3.8 Flash</c:v>
                </c:pt>
                <c:pt idx="2">
                  <c:v>GPT-5.6 Luna</c:v>
                </c:pt>
                <c:pt idx="3">
                  <c:v>Qwen 3.8 Max</c:v>
                </c:pt>
                <c:pt idx="4">
                  <c:v>DeepSeek Flash Latest</c:v>
                </c:pt>
              </c:strCache>
            </c:strRef>
          </c:cat>
          <c:val>
            <c:numRef>
              <c:f>'B Analysis Handoff'!$E$4:$E$8</c:f>
              <c:numCache>
                <c:formatCode>"$"0.000000;[Red]\("$"0.000000\);\-</c:formatCode>
                <c:ptCount val="5"/>
                <c:pt idx="0">
                  <c:v>0.00212461100917431</c:v>
                </c:pt>
                <c:pt idx="1">
                  <c:v>0.643233172018348</c:v>
                </c:pt>
                <c:pt idx="2">
                  <c:v>0.0730172422018344</c:v>
                </c:pt>
                <c:pt idx="3">
                  <c:v>0.165868660550459</c:v>
                </c:pt>
                <c:pt idx="4">
                  <c:v>0.420075644036697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lt"/>
              <a:cs typeface="+mn-lt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91b696-4a7d-4aae-8199-fea841ca21db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sz="1800" b="1" i="0" u="none">
                <a:solidFill>
                  <a:schemeClr val="tx1"/>
                </a:solidFill>
                <a:latin typeface="+mn-lt"/>
                <a:ea typeface="+mn-lt"/>
                <a:cs typeface="+mn-lt"/>
              </a:rPr>
              <a:t>Monthly cost versus success rate</a:t>
            </a:r>
            <a:endParaRPr sz="1800" b="1" i="0" u="none">
              <a:solidFill>
                <a:schemeClr val="tx1"/>
              </a:solidFill>
              <a:latin typeface="+mn-lt"/>
              <a:ea typeface="+mn-lt"/>
              <a:cs typeface="+mn-lt"/>
            </a:endParaRP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"Monthly excl K"</c:f>
              <c:strCache>
                <c:ptCount val="1"/>
                <c:pt idx="0">
                  <c:v>Monthly excl K</c:v>
                </c:pt>
              </c:strCache>
            </c:strRef>
          </c:tx>
          <c:marker>
            <c:symbol val="none"/>
          </c:marker>
          <c:dLbls>
            <c:delete val="1"/>
          </c:dLbls>
          <c:cat>
            <c:strRef>
              <c:f>'D6 Analysis'!$C$72:$C$82</c:f>
              <c:strCache>
                <c:ptCount val="11"/>
                <c:pt idx="0">
                  <c:v>90%</c:v>
                </c:pt>
                <c:pt idx="1">
                  <c:v>91%</c:v>
                </c:pt>
                <c:pt idx="2">
                  <c:v>92%</c:v>
                </c:pt>
                <c:pt idx="3">
                  <c:v>93%</c:v>
                </c:pt>
                <c:pt idx="4">
                  <c:v>94%</c:v>
                </c:pt>
                <c:pt idx="5">
                  <c:v>95%</c:v>
                </c:pt>
                <c:pt idx="6">
                  <c:v>96%</c:v>
                </c:pt>
                <c:pt idx="7">
                  <c:v>97%</c:v>
                </c:pt>
                <c:pt idx="8">
                  <c:v>98%</c:v>
                </c:pt>
                <c:pt idx="9">
                  <c:v>99%</c:v>
                </c:pt>
                <c:pt idx="10">
                  <c:v>100%</c:v>
                </c:pt>
              </c:strCache>
            </c:strRef>
          </c:cat>
          <c:val>
            <c:numRef>
              <c:f>'D6 Analysis'!$B$72:$B$82</c:f>
              <c:numCache>
                <c:formatCode>"$"#,##0.00</c:formatCode>
                <c:ptCount val="11"/>
                <c:pt idx="0">
                  <c:v>6521.22847067339</c:v>
                </c:pt>
                <c:pt idx="1">
                  <c:v>5913.22847067339</c:v>
                </c:pt>
                <c:pt idx="2">
                  <c:v>5305.22847067339</c:v>
                </c:pt>
                <c:pt idx="3">
                  <c:v>4697.22847067339</c:v>
                </c:pt>
                <c:pt idx="4">
                  <c:v>4089.2284706734</c:v>
                </c:pt>
                <c:pt idx="5">
                  <c:v>3481.2284706734</c:v>
                </c:pt>
                <c:pt idx="6">
                  <c:v>2873.2284706734</c:v>
                </c:pt>
                <c:pt idx="7">
                  <c:v>2265.2284706734</c:v>
                </c:pt>
                <c:pt idx="8">
                  <c:v>1657.2284706734</c:v>
                </c:pt>
                <c:pt idx="9">
                  <c:v>1049.22847067339</c:v>
                </c:pt>
                <c:pt idx="10">
                  <c:v>441.228470673394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0%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&quot;$&quot;#,##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62cf047-3100-4b12-9011-614a8dc39ffe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0</xdr:colOff>
      <xdr:row>2</xdr:row>
      <xdr:rowOff>0</xdr:rowOff>
    </xdr:from>
    <xdr:to>
      <xdr:col>20</xdr:col>
      <xdr:colOff>0</xdr:colOff>
      <xdr:row>18</xdr:row>
      <xdr:rowOff>0</xdr:rowOff>
    </xdr:to>
    <xdr:graphicFrame>
      <xdr:nvGraphicFramePr>
        <xdr:cNvPr id="2" name="Chart"/>
        <xdr:cNvGraphicFramePr/>
      </xdr:nvGraphicFramePr>
      <xdr:xfrm>
        <a:off x="16078200" y="433070"/>
        <a:ext cx="6172200" cy="4000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70</xdr:row>
      <xdr:rowOff>0</xdr:rowOff>
    </xdr:from>
    <xdr:to>
      <xdr:col>10</xdr:col>
      <xdr:colOff>0</xdr:colOff>
      <xdr:row>85</xdr:row>
      <xdr:rowOff>0</xdr:rowOff>
    </xdr:to>
    <xdr:graphicFrame>
      <xdr:nvGraphicFramePr>
        <xdr:cNvPr id="2" name="Chart"/>
        <xdr:cNvGraphicFramePr/>
      </xdr:nvGraphicFramePr>
      <xdr:xfrm>
        <a:off x="4495800" y="24828500"/>
        <a:ext cx="9067800" cy="5003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workbookViewId="0">
      <selection activeCell="A1" sqref="A1:R1"/>
    </sheetView>
  </sheetViews>
  <sheetFormatPr defaultColWidth="9" defaultRowHeight="13.5"/>
  <cols>
    <col min="1" max="1" width="20" customWidth="1"/>
    <col min="2" max="2" width="25" customWidth="1"/>
    <col min="3" max="5" width="11" customWidth="1"/>
    <col min="6" max="6" width="12" customWidth="1"/>
    <col min="7" max="8" width="14" customWidth="1"/>
    <col min="9" max="10" width="12" customWidth="1"/>
    <col min="11" max="13" width="15" customWidth="1"/>
    <col min="14" max="18" width="20" customWidth="1"/>
  </cols>
  <sheetData>
    <row r="1" ht="20.6" spans="1:18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>
      <c r="A2" s="61" t="s">
        <v>1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</row>
    <row r="3" spans="1:18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ht="36" customHeight="1" spans="1:18">
      <c r="A4" s="23" t="s">
        <v>2</v>
      </c>
      <c r="B4" s="23" t="s">
        <v>3</v>
      </c>
      <c r="C4" s="23" t="s">
        <v>4</v>
      </c>
      <c r="D4" s="23" t="s">
        <v>5</v>
      </c>
      <c r="E4" s="23" t="s">
        <v>6</v>
      </c>
      <c r="F4" s="23" t="s">
        <v>7</v>
      </c>
      <c r="G4" s="23" t="s">
        <v>8</v>
      </c>
      <c r="H4" s="23" t="s">
        <v>9</v>
      </c>
      <c r="I4" s="23" t="s">
        <v>10</v>
      </c>
      <c r="J4" s="23" t="s">
        <v>11</v>
      </c>
      <c r="K4" s="23" t="s">
        <v>12</v>
      </c>
      <c r="L4" s="23" t="s">
        <v>13</v>
      </c>
      <c r="M4" s="23" t="s">
        <v>14</v>
      </c>
      <c r="N4" s="23" t="s">
        <v>15</v>
      </c>
      <c r="O4" s="23" t="s">
        <v>16</v>
      </c>
      <c r="P4" s="23" t="s">
        <v>17</v>
      </c>
      <c r="Q4" s="23" t="s">
        <v>18</v>
      </c>
      <c r="R4" s="23" t="s">
        <v>19</v>
      </c>
    </row>
    <row r="5" spans="1:18">
      <c r="A5" s="28" t="s">
        <v>20</v>
      </c>
      <c r="B5" s="28" t="s">
        <v>21</v>
      </c>
      <c r="C5" s="62">
        <v>63</v>
      </c>
      <c r="D5" s="62">
        <v>109</v>
      </c>
      <c r="E5" s="62">
        <v>109</v>
      </c>
      <c r="F5" s="63">
        <f t="shared" ref="F5:F11" si="0">E5/D5</f>
        <v>1</v>
      </c>
      <c r="G5" s="28" t="s">
        <v>22</v>
      </c>
      <c r="H5" s="28" t="s">
        <v>23</v>
      </c>
      <c r="I5" s="62">
        <v>4</v>
      </c>
      <c r="J5" s="62">
        <v>5</v>
      </c>
      <c r="K5" s="62">
        <v>1369108</v>
      </c>
      <c r="L5" s="62">
        <v>43694</v>
      </c>
      <c r="M5" s="64">
        <f t="shared" ref="M5:M11" si="1">K5+L5</f>
        <v>1412802</v>
      </c>
      <c r="N5" s="65">
        <f>K5/1000000*'D6 Assumptions'!$B$24+L5/1000000*'D6 Assumptions'!$C$24</f>
        <v>0.2315826</v>
      </c>
      <c r="O5" s="65">
        <f t="shared" ref="O5:O11" si="2">N5/D5</f>
        <v>0.00212461100917431</v>
      </c>
      <c r="P5" s="65">
        <f>(1-F5)*'D6 Assumptions'!$B$6</f>
        <v>0</v>
      </c>
      <c r="Q5" s="65">
        <f t="shared" ref="Q5:Q11" si="3">O5+P5</f>
        <v>0.00212461100917431</v>
      </c>
      <c r="R5" s="65">
        <f>'D6 Assumptions'!$B$46-Q5</f>
        <v>7.59787538899083</v>
      </c>
    </row>
    <row r="6" spans="1:18">
      <c r="A6" s="28" t="s">
        <v>24</v>
      </c>
      <c r="B6" s="28" t="s">
        <v>25</v>
      </c>
      <c r="C6" s="62">
        <v>63</v>
      </c>
      <c r="D6" s="62">
        <v>109</v>
      </c>
      <c r="E6" s="62">
        <v>100</v>
      </c>
      <c r="F6" s="63">
        <f t="shared" si="0"/>
        <v>0.917431192660551</v>
      </c>
      <c r="G6" s="28" t="s">
        <v>26</v>
      </c>
      <c r="H6" s="28" t="s">
        <v>27</v>
      </c>
      <c r="I6" s="62">
        <v>2</v>
      </c>
      <c r="J6" s="62">
        <v>5</v>
      </c>
      <c r="K6" s="62">
        <v>1221456</v>
      </c>
      <c r="L6" s="62">
        <v>212353</v>
      </c>
      <c r="M6" s="64">
        <f t="shared" si="1"/>
        <v>1433809</v>
      </c>
      <c r="N6" s="65">
        <f>K6/1000000*'D6 Assumptions'!$B$25+L6/1000000*'D6 Assumptions'!$C$25</f>
        <v>1.71241575</v>
      </c>
      <c r="O6" s="65">
        <f t="shared" si="2"/>
        <v>0.0157102362385321</v>
      </c>
      <c r="P6" s="65">
        <f>(1-F6)*'D6 Assumptions'!$B$6</f>
        <v>0.627522935779816</v>
      </c>
      <c r="Q6" s="65">
        <f t="shared" si="3"/>
        <v>0.643233172018348</v>
      </c>
      <c r="R6" s="65">
        <f>'D6 Assumptions'!$B$46-Q6</f>
        <v>6.95676682798165</v>
      </c>
    </row>
    <row r="7" spans="1:18">
      <c r="A7" s="28" t="s">
        <v>28</v>
      </c>
      <c r="B7" s="28" t="s">
        <v>29</v>
      </c>
      <c r="C7" s="62">
        <v>63</v>
      </c>
      <c r="D7" s="62">
        <v>109</v>
      </c>
      <c r="E7" s="62">
        <v>108</v>
      </c>
      <c r="F7" s="63">
        <f t="shared" si="0"/>
        <v>0.990825688073395</v>
      </c>
      <c r="G7" s="28" t="s">
        <v>22</v>
      </c>
      <c r="H7" s="28" t="s">
        <v>30</v>
      </c>
      <c r="I7" s="62">
        <v>2</v>
      </c>
      <c r="J7" s="62">
        <v>5</v>
      </c>
      <c r="K7" s="62">
        <v>1301197</v>
      </c>
      <c r="L7" s="62">
        <v>82200</v>
      </c>
      <c r="M7" s="64">
        <f t="shared" si="1"/>
        <v>1383397</v>
      </c>
      <c r="N7" s="65">
        <f>K7/1000000*'D6 Assumptions'!$B$26+L7/1000000*'D6 Assumptions'!$C$26</f>
        <v>0.3588794</v>
      </c>
      <c r="O7" s="65">
        <f t="shared" si="2"/>
        <v>0.00329247155963303</v>
      </c>
      <c r="P7" s="65">
        <f>(1-F7)*'D6 Assumptions'!$B$6</f>
        <v>0.0697247706422014</v>
      </c>
      <c r="Q7" s="65">
        <f t="shared" si="3"/>
        <v>0.0730172422018344</v>
      </c>
      <c r="R7" s="65">
        <f>'D6 Assumptions'!$B$46-Q7</f>
        <v>7.52698275779816</v>
      </c>
    </row>
    <row r="8" spans="1:18">
      <c r="A8" s="28" t="s">
        <v>31</v>
      </c>
      <c r="B8" s="28" t="s">
        <v>32</v>
      </c>
      <c r="C8" s="62">
        <v>63</v>
      </c>
      <c r="D8" s="62">
        <v>109</v>
      </c>
      <c r="E8" s="62">
        <v>107</v>
      </c>
      <c r="F8" s="63">
        <f t="shared" si="0"/>
        <v>0.981651376146789</v>
      </c>
      <c r="G8" s="28" t="s">
        <v>22</v>
      </c>
      <c r="H8" s="28" t="s">
        <v>33</v>
      </c>
      <c r="I8" s="62">
        <v>3</v>
      </c>
      <c r="J8" s="62">
        <v>4</v>
      </c>
      <c r="K8" s="62">
        <v>1047715</v>
      </c>
      <c r="L8" s="62">
        <v>130709</v>
      </c>
      <c r="M8" s="64">
        <f t="shared" si="1"/>
        <v>1178424</v>
      </c>
      <c r="N8" s="65">
        <f>K8/1000000*'D6 Assumptions'!$B$27+L8/1000000*'D6 Assumptions'!$C$27</f>
        <v>2.879684</v>
      </c>
      <c r="O8" s="65">
        <f t="shared" si="2"/>
        <v>0.026419119266055</v>
      </c>
      <c r="P8" s="65">
        <f>(1-F8)*'D6 Assumptions'!$B$6</f>
        <v>0.139449541284404</v>
      </c>
      <c r="Q8" s="65">
        <f t="shared" si="3"/>
        <v>0.165868660550459</v>
      </c>
      <c r="R8" s="65">
        <f>'D6 Assumptions'!$B$46-Q8</f>
        <v>7.43413133944954</v>
      </c>
    </row>
    <row r="9" ht="27" spans="1:18">
      <c r="A9" s="28" t="s">
        <v>34</v>
      </c>
      <c r="B9" s="28" t="s">
        <v>35</v>
      </c>
      <c r="C9" s="62">
        <v>63</v>
      </c>
      <c r="D9" s="62">
        <v>109</v>
      </c>
      <c r="E9" s="62">
        <v>103</v>
      </c>
      <c r="F9" s="63">
        <f t="shared" si="0"/>
        <v>0.944954128440367</v>
      </c>
      <c r="G9" s="28" t="s">
        <v>36</v>
      </c>
      <c r="H9" s="28" t="s">
        <v>37</v>
      </c>
      <c r="I9" s="62">
        <v>2</v>
      </c>
      <c r="J9" s="62">
        <v>5</v>
      </c>
      <c r="K9" s="62">
        <v>976544</v>
      </c>
      <c r="L9" s="62">
        <v>69606</v>
      </c>
      <c r="M9" s="64">
        <f t="shared" si="1"/>
        <v>1046150</v>
      </c>
      <c r="N9" s="65">
        <f>K9/1000000*'D6 Assumptions'!$B$28+L9/1000000*'D6 Assumptions'!$C$28</f>
        <v>0.1882452</v>
      </c>
      <c r="O9" s="65">
        <f t="shared" si="2"/>
        <v>0.00172702018348624</v>
      </c>
      <c r="P9" s="65">
        <f>(1-F9)*'D6 Assumptions'!$B$6</f>
        <v>0.418348623853211</v>
      </c>
      <c r="Q9" s="65">
        <f t="shared" si="3"/>
        <v>0.420075644036697</v>
      </c>
      <c r="R9" s="65">
        <f>'D6 Assumptions'!$B$46-Q9</f>
        <v>7.1799243559633</v>
      </c>
    </row>
    <row r="10" customHeight="1" spans="1:18">
      <c r="A10" s="22" t="s">
        <v>38</v>
      </c>
      <c r="B10" s="22" t="s">
        <v>39</v>
      </c>
      <c r="C10" s="22">
        <v>23</v>
      </c>
      <c r="D10" s="22">
        <v>69</v>
      </c>
      <c r="E10" s="22">
        <v>69</v>
      </c>
      <c r="F10" s="66">
        <f t="shared" si="0"/>
        <v>1</v>
      </c>
      <c r="G10" s="22" t="s">
        <v>40</v>
      </c>
      <c r="H10" s="22" t="s">
        <v>23</v>
      </c>
      <c r="I10" s="22">
        <v>2</v>
      </c>
      <c r="J10" s="22">
        <v>3</v>
      </c>
      <c r="K10" s="22">
        <v>869849</v>
      </c>
      <c r="L10" s="22">
        <v>39369</v>
      </c>
      <c r="M10" s="22">
        <f t="shared" si="1"/>
        <v>909218</v>
      </c>
      <c r="N10" s="55">
        <f>K10/1000000*'D6 Assumptions'!$B$29+L10/1000000*'D6 Assumptions'!$C$29</f>
        <v>2.133388</v>
      </c>
      <c r="O10" s="55">
        <f t="shared" si="2"/>
        <v>0.0309186666666667</v>
      </c>
      <c r="P10" s="55">
        <f>(1-F10)*'D6 Assumptions'!$B$6</f>
        <v>0</v>
      </c>
      <c r="Q10" s="55">
        <f t="shared" si="3"/>
        <v>0.0309186666666667</v>
      </c>
      <c r="R10" s="55">
        <f>'D6 Assumptions'!$B$46-Q10</f>
        <v>7.56908133333333</v>
      </c>
    </row>
    <row r="11" ht="26.4" customHeight="1" spans="1:18">
      <c r="A11" s="22" t="s">
        <v>41</v>
      </c>
      <c r="B11" s="22" t="s">
        <v>42</v>
      </c>
      <c r="C11" s="22">
        <v>15</v>
      </c>
      <c r="D11" s="22">
        <v>33</v>
      </c>
      <c r="E11" s="22">
        <v>6</v>
      </c>
      <c r="F11" s="66">
        <f t="shared" si="0"/>
        <v>0.181818181818182</v>
      </c>
      <c r="G11" s="22" t="s">
        <v>43</v>
      </c>
      <c r="H11" s="22" t="s">
        <v>43</v>
      </c>
      <c r="I11" s="22"/>
      <c r="J11" s="22"/>
      <c r="K11" s="22">
        <v>393486</v>
      </c>
      <c r="L11" s="22">
        <v>11498</v>
      </c>
      <c r="M11" s="22">
        <f t="shared" si="1"/>
        <v>404984</v>
      </c>
      <c r="N11" s="55">
        <f>K11/1000000*'D6 Assumptions'!$B$24+L11/1000000*'D6 Assumptions'!$C$24</f>
        <v>0.0659217</v>
      </c>
      <c r="O11" s="55">
        <f t="shared" si="2"/>
        <v>0.00199762727272727</v>
      </c>
      <c r="P11" s="55">
        <f>(1-F11)*'D6 Assumptions'!$B$6</f>
        <v>6.21818181818182</v>
      </c>
      <c r="Q11" s="55">
        <f t="shared" si="3"/>
        <v>6.22017944545455</v>
      </c>
      <c r="R11" s="55">
        <f>'D6 Assumptions'!$B$46-Q11</f>
        <v>1.37982055454545</v>
      </c>
    </row>
    <row r="12" spans="1:18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4" spans="1:18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spans="1:18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spans="1:18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spans="1:18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spans="1:18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spans="1:18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spans="1:18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</sheetData>
  <mergeCells count="2">
    <mergeCell ref="A1:R1"/>
    <mergeCell ref="A2:R2"/>
  </mergeCells>
  <conditionalFormatting sqref="F5:F9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Q5:Q9"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{2601ad89-b260-41a3-8209-5e5786abac48}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01ad89-b260-41a3-8209-5e5786abac4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Q5:Q9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0"/>
  <sheetViews>
    <sheetView workbookViewId="0">
      <selection activeCell="A1" sqref="A1:D1"/>
    </sheetView>
  </sheetViews>
  <sheetFormatPr defaultColWidth="9" defaultRowHeight="13.5"/>
  <cols>
    <col min="1" max="1" width="42" customWidth="1"/>
    <col min="2" max="2" width="26" customWidth="1"/>
    <col min="3" max="3" width="22" customWidth="1"/>
    <col min="4" max="4" width="44" customWidth="1"/>
  </cols>
  <sheetData>
    <row r="1" ht="20.6" spans="1:18">
      <c r="A1" s="21" t="s">
        <v>44</v>
      </c>
      <c r="B1" s="21"/>
      <c r="C1" s="21"/>
      <c r="D1" s="21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ht="13.9" spans="1:18">
      <c r="A3" s="23" t="s">
        <v>45</v>
      </c>
      <c r="B3" s="23" t="s">
        <v>46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>
      <c r="A4" s="22" t="s">
        <v>47</v>
      </c>
      <c r="B4" s="33">
        <v>38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>
      <c r="A5" s="22" t="s">
        <v>48</v>
      </c>
      <c r="B5" s="34">
        <v>12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>
      <c r="A6" s="22" t="s">
        <v>49</v>
      </c>
      <c r="B6" s="35">
        <f>B4*B5/60</f>
        <v>7.6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</row>
    <row r="7" spans="1:18">
      <c r="A7" s="22" t="s">
        <v>50</v>
      </c>
      <c r="B7" s="36">
        <v>63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</row>
    <row r="8" spans="1:18">
      <c r="A8" s="22" t="s">
        <v>51</v>
      </c>
      <c r="B8" s="36">
        <v>109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</row>
    <row r="9" spans="1:18">
      <c r="A9" s="22" t="s">
        <v>52</v>
      </c>
      <c r="B9" s="36">
        <v>40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spans="1:18">
      <c r="A10" s="22" t="s">
        <v>53</v>
      </c>
      <c r="B10" s="36">
        <v>69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spans="1:18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 ht="13.9" spans="1:18">
      <c r="A12" s="23" t="s">
        <v>54</v>
      </c>
      <c r="B12" s="23" t="s">
        <v>55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</row>
    <row r="13" ht="27" spans="1:18">
      <c r="A13" s="22" t="s">
        <v>56</v>
      </c>
      <c r="B13" s="22" t="s">
        <v>57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ht="27" spans="1:18">
      <c r="A14" s="22" t="s">
        <v>58</v>
      </c>
      <c r="B14" s="22" t="s">
        <v>59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</row>
    <row r="15" ht="27" spans="1:18">
      <c r="A15" s="22" t="s">
        <v>60</v>
      </c>
      <c r="B15" s="22" t="s">
        <v>61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</row>
    <row r="16" spans="1:18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</row>
    <row r="17" ht="20" customHeight="1" spans="1:18">
      <c r="A17" s="37" t="s">
        <v>62</v>
      </c>
      <c r="B17" s="37"/>
      <c r="C17" s="37"/>
      <c r="D17" s="37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</row>
    <row r="18" ht="20" customHeight="1" spans="1:18">
      <c r="A18" s="37"/>
      <c r="B18" s="37"/>
      <c r="C18" s="37"/>
      <c r="D18" s="37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ht="20" customHeight="1" spans="1:18">
      <c r="A19" s="37"/>
      <c r="B19" s="37"/>
      <c r="C19" s="37"/>
      <c r="D19" s="37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ht="13.9" spans="1:18">
      <c r="A22" s="38" t="s">
        <v>63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ht="26" customHeight="1" spans="1:18">
      <c r="A23" s="23" t="s">
        <v>2</v>
      </c>
      <c r="B23" s="23" t="s">
        <v>64</v>
      </c>
      <c r="C23" s="23" t="s">
        <v>65</v>
      </c>
      <c r="D23" s="23" t="s">
        <v>66</v>
      </c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</row>
    <row r="24" ht="22" customHeight="1" spans="1:18">
      <c r="A24" s="22" t="s">
        <v>20</v>
      </c>
      <c r="B24" s="39">
        <v>0.15</v>
      </c>
      <c r="C24" s="39">
        <v>0.6</v>
      </c>
      <c r="D24" s="40">
        <v>46284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</row>
    <row r="25" ht="22" customHeight="1" spans="1:18">
      <c r="A25" s="22" t="s">
        <v>24</v>
      </c>
      <c r="B25" s="39">
        <v>0.75</v>
      </c>
      <c r="C25" s="39">
        <v>3.75</v>
      </c>
      <c r="D25" s="40">
        <v>46284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  <row r="26" ht="22" customHeight="1" spans="1:18">
      <c r="A26" t="s">
        <v>28</v>
      </c>
      <c r="B26" s="41">
        <v>0.2</v>
      </c>
      <c r="C26" s="41">
        <v>1.2</v>
      </c>
      <c r="D26" s="42">
        <v>46284</v>
      </c>
    </row>
    <row r="27" ht="22" customHeight="1" spans="1:18">
      <c r="A27" t="s">
        <v>31</v>
      </c>
      <c r="B27" s="41">
        <v>2</v>
      </c>
      <c r="C27" s="41">
        <v>6</v>
      </c>
      <c r="D27" s="42">
        <v>46284</v>
      </c>
    </row>
    <row r="28" ht="22" customHeight="1" spans="1:18">
      <c r="A28" t="s">
        <v>34</v>
      </c>
      <c r="B28" s="41">
        <v>0.15</v>
      </c>
      <c r="C28" s="41">
        <v>0.6</v>
      </c>
      <c r="D28" s="42">
        <v>46284</v>
      </c>
    </row>
    <row r="29" spans="1:18">
      <c r="A29" t="s">
        <v>67</v>
      </c>
      <c r="B29">
        <v>2</v>
      </c>
      <c r="C29">
        <v>10</v>
      </c>
      <c r="D29" s="43">
        <v>46284</v>
      </c>
    </row>
    <row r="30" ht="20" customHeight="1" spans="1:18">
      <c r="A30" s="44" t="s">
        <v>68</v>
      </c>
      <c r="B30" s="44"/>
      <c r="C30" s="44"/>
      <c r="D30" s="44"/>
    </row>
    <row r="31" ht="20" customHeight="1" spans="1:18">
      <c r="A31" s="44"/>
      <c r="B31" s="44"/>
      <c r="C31" s="44"/>
      <c r="D31" s="44"/>
    </row>
    <row r="32" ht="20" customHeight="1" spans="1:18">
      <c r="A32" s="44"/>
      <c r="B32" s="44"/>
      <c r="C32" s="44"/>
      <c r="D32" s="44"/>
    </row>
    <row r="34" ht="44" customHeight="1" spans="1:3">
      <c r="A34" s="4" t="s">
        <v>69</v>
      </c>
      <c r="B34" s="4" t="s">
        <v>46</v>
      </c>
      <c r="C34" s="4" t="s">
        <v>70</v>
      </c>
    </row>
    <row r="35" ht="36" customHeight="1" spans="1:3">
      <c r="A35" t="s">
        <v>71</v>
      </c>
      <c r="B35" s="45">
        <v>8000</v>
      </c>
      <c r="C35" s="32" t="s">
        <v>72</v>
      </c>
    </row>
    <row r="36" ht="36" customHeight="1" spans="1:3">
      <c r="A36" t="s">
        <v>73</v>
      </c>
      <c r="B36" s="45">
        <v>0</v>
      </c>
      <c r="C36" s="32" t="s">
        <v>74</v>
      </c>
    </row>
    <row r="37" ht="36" customHeight="1" spans="1:3">
      <c r="A37" t="s">
        <v>75</v>
      </c>
      <c r="B37" s="46">
        <v>20</v>
      </c>
      <c r="C37" s="32" t="s">
        <v>76</v>
      </c>
    </row>
    <row r="38" ht="36" customHeight="1" spans="1:3">
      <c r="A38" t="s">
        <v>77</v>
      </c>
      <c r="B38" s="46">
        <v>100</v>
      </c>
      <c r="C38" s="32" t="s">
        <v>78</v>
      </c>
    </row>
    <row r="39" ht="36" customHeight="1" spans="1:3">
      <c r="A39" t="s">
        <v>79</v>
      </c>
      <c r="B39" s="46">
        <f>2*$B$4+'D6 Cost Ledger'!$N$5</f>
        <v>76.2315826</v>
      </c>
      <c r="C39" s="32" t="s">
        <v>80</v>
      </c>
    </row>
    <row r="40" ht="36" customHeight="1" spans="1:3">
      <c r="A40" t="s">
        <v>81</v>
      </c>
      <c r="B40" s="46">
        <f>2*$B$4</f>
        <v>76</v>
      </c>
      <c r="C40" s="32" t="s">
        <v>82</v>
      </c>
    </row>
    <row r="41" ht="36" customHeight="1" spans="1:3">
      <c r="A41" t="s">
        <v>83</v>
      </c>
      <c r="B41" s="46">
        <f>4*$B$4</f>
        <v>152</v>
      </c>
      <c r="C41" s="32" t="s">
        <v>84</v>
      </c>
    </row>
    <row r="42" ht="36" customHeight="1" spans="1:3">
      <c r="A42" t="s">
        <v>85</v>
      </c>
      <c r="B42" s="46">
        <f>SUM(B37:B41)</f>
        <v>424.2315826</v>
      </c>
      <c r="C42" s="32" t="s">
        <v>86</v>
      </c>
    </row>
    <row r="43" ht="36" customHeight="1" spans="1:3">
      <c r="A43" t="s">
        <v>87</v>
      </c>
      <c r="B43" s="47">
        <v>8</v>
      </c>
      <c r="C43" s="32" t="s">
        <v>88</v>
      </c>
    </row>
    <row r="44" ht="36" customHeight="1" spans="1:3">
      <c r="A44" t="s">
        <v>89</v>
      </c>
      <c r="B44" s="48">
        <v>60000</v>
      </c>
      <c r="C44" s="32" t="s">
        <v>90</v>
      </c>
    </row>
    <row r="45" ht="36" customHeight="1" spans="1:3">
      <c r="A45" t="s">
        <v>91</v>
      </c>
      <c r="B45" s="48">
        <v>200</v>
      </c>
      <c r="C45" s="32" t="s">
        <v>92</v>
      </c>
    </row>
    <row r="46" ht="36" customHeight="1" spans="1:3">
      <c r="A46" t="s">
        <v>93</v>
      </c>
      <c r="B46" s="49">
        <f>B6</f>
        <v>7.6</v>
      </c>
      <c r="C46" s="32" t="s">
        <v>94</v>
      </c>
    </row>
    <row r="47" ht="36" customHeight="1" spans="1:3">
      <c r="A47" t="s">
        <v>95</v>
      </c>
      <c r="B47" s="50">
        <v>0.1</v>
      </c>
      <c r="C47" s="32" t="s">
        <v>96</v>
      </c>
    </row>
    <row r="48" ht="36" customHeight="1" spans="1:3">
      <c r="A48" t="s">
        <v>97</v>
      </c>
      <c r="B48" s="50">
        <v>0.5</v>
      </c>
      <c r="C48" s="32" t="s">
        <v>98</v>
      </c>
    </row>
    <row r="49" ht="36" customHeight="1" spans="1:4">
      <c r="A49" t="s">
        <v>99</v>
      </c>
      <c r="B49" s="50">
        <v>1.5</v>
      </c>
      <c r="C49" s="32" t="s">
        <v>98</v>
      </c>
    </row>
    <row r="50" ht="36" customHeight="1" spans="1:4">
      <c r="A50" t="s">
        <v>100</v>
      </c>
      <c r="B50" s="51">
        <f>B42</f>
        <v>424.2315826</v>
      </c>
      <c r="C50" s="32" t="s">
        <v>101</v>
      </c>
    </row>
    <row r="52" ht="38" customHeight="1" spans="1:4">
      <c r="A52" s="32" t="s">
        <v>102</v>
      </c>
      <c r="B52" s="32"/>
      <c r="C52" s="32"/>
      <c r="D52" s="32"/>
    </row>
    <row r="53" ht="38" customHeight="1" spans="1:4">
      <c r="A53" s="32" t="s">
        <v>103</v>
      </c>
      <c r="B53" s="32"/>
      <c r="C53" s="32"/>
      <c r="D53" s="32"/>
    </row>
    <row r="54" ht="38" customHeight="1" spans="1:4">
      <c r="A54" s="32" t="s">
        <v>104</v>
      </c>
      <c r="B54" s="32"/>
      <c r="C54" s="32"/>
      <c r="D54" s="32"/>
    </row>
    <row r="56" ht="44" customHeight="1" spans="1:4">
      <c r="A56" s="4" t="s">
        <v>2</v>
      </c>
      <c r="B56" s="4" t="s">
        <v>105</v>
      </c>
      <c r="C56" s="4" t="s">
        <v>106</v>
      </c>
      <c r="D56" s="4" t="s">
        <v>107</v>
      </c>
    </row>
    <row r="57" spans="1:4">
      <c r="A57" t="s">
        <v>20</v>
      </c>
      <c r="B57">
        <v>0.15</v>
      </c>
      <c r="C57">
        <v>0.6</v>
      </c>
      <c r="D57" t="s">
        <v>108</v>
      </c>
    </row>
    <row r="58" spans="1:4">
      <c r="A58" t="s">
        <v>24</v>
      </c>
      <c r="B58">
        <v>0.75</v>
      </c>
      <c r="C58">
        <v>3.75</v>
      </c>
      <c r="D58" t="s">
        <v>109</v>
      </c>
    </row>
    <row r="59" spans="1:4">
      <c r="A59" t="s">
        <v>28</v>
      </c>
      <c r="B59">
        <v>0.2</v>
      </c>
      <c r="C59">
        <v>1.2</v>
      </c>
      <c r="D59" t="s">
        <v>110</v>
      </c>
    </row>
    <row r="60" spans="1:4">
      <c r="A60" t="s">
        <v>31</v>
      </c>
      <c r="B60">
        <v>2</v>
      </c>
      <c r="C60">
        <v>6</v>
      </c>
      <c r="D60" t="s">
        <v>111</v>
      </c>
    </row>
    <row r="61" spans="1:4">
      <c r="A61" t="s">
        <v>34</v>
      </c>
      <c r="B61">
        <v>0.15</v>
      </c>
      <c r="C61">
        <v>0.6</v>
      </c>
      <c r="D61" t="s">
        <v>112</v>
      </c>
    </row>
    <row r="62" spans="1:4">
      <c r="A62" t="s">
        <v>67</v>
      </c>
      <c r="B62">
        <v>2</v>
      </c>
      <c r="C62">
        <v>10</v>
      </c>
      <c r="D62" t="s">
        <v>113</v>
      </c>
    </row>
    <row r="63" ht="13.85" spans="1:4">
      <c r="A63" s="52" t="s">
        <v>114</v>
      </c>
      <c r="B63" s="52"/>
      <c r="C63" s="52"/>
      <c r="D63" s="52"/>
    </row>
    <row r="64" ht="27" spans="1:4">
      <c r="A64" s="53" t="s">
        <v>115</v>
      </c>
      <c r="B64" s="32" t="s">
        <v>116</v>
      </c>
      <c r="C64" s="32" t="s">
        <v>117</v>
      </c>
      <c r="D64" s="32" t="s">
        <v>118</v>
      </c>
    </row>
    <row r="65" ht="13.9" spans="1:4">
      <c r="A65" s="53" t="s">
        <v>119</v>
      </c>
      <c r="B65" s="32" t="s">
        <v>120</v>
      </c>
      <c r="C65" s="32" t="s">
        <v>117</v>
      </c>
      <c r="D65" s="32" t="s">
        <v>121</v>
      </c>
    </row>
    <row r="66" ht="13.9" spans="1:4">
      <c r="A66" s="53" t="s">
        <v>122</v>
      </c>
      <c r="B66" s="32">
        <v>63</v>
      </c>
      <c r="C66" s="32" t="s">
        <v>117</v>
      </c>
      <c r="D66" s="32" t="s">
        <v>123</v>
      </c>
    </row>
    <row r="67" ht="13.9" spans="1:4">
      <c r="A67" s="53" t="s">
        <v>124</v>
      </c>
      <c r="B67" s="32" t="s">
        <v>125</v>
      </c>
      <c r="C67" s="32" t="s">
        <v>117</v>
      </c>
      <c r="D67" s="32" t="s">
        <v>126</v>
      </c>
    </row>
    <row r="68" ht="13.9" spans="1:4">
      <c r="A68" s="53" t="s">
        <v>127</v>
      </c>
      <c r="B68" s="54">
        <v>1369108</v>
      </c>
      <c r="C68" s="32" t="s">
        <v>117</v>
      </c>
      <c r="D68" s="32" t="s">
        <v>128</v>
      </c>
    </row>
    <row r="69" ht="13.9" spans="1:4">
      <c r="A69" s="53" t="s">
        <v>129</v>
      </c>
      <c r="B69" s="54">
        <v>43694</v>
      </c>
      <c r="C69" s="32" t="s">
        <v>117</v>
      </c>
      <c r="D69" s="32" t="s">
        <v>130</v>
      </c>
    </row>
    <row r="70" ht="27" spans="1:4">
      <c r="A70" s="53" t="s">
        <v>131</v>
      </c>
      <c r="B70" s="55">
        <v>0.154397</v>
      </c>
      <c r="C70" s="32" t="s">
        <v>117</v>
      </c>
      <c r="D70" s="32" t="s">
        <v>132</v>
      </c>
    </row>
    <row r="71" ht="27" spans="1:4">
      <c r="A71" s="53" t="s">
        <v>133</v>
      </c>
      <c r="B71" s="32" t="s">
        <v>134</v>
      </c>
      <c r="C71" s="32" t="s">
        <v>117</v>
      </c>
      <c r="D71" s="32" t="s">
        <v>135</v>
      </c>
    </row>
    <row r="73" customHeight="1" spans="1:4">
      <c r="A73" s="56" t="s">
        <v>136</v>
      </c>
      <c r="B73" s="57"/>
      <c r="C73" s="58"/>
    </row>
    <row r="74" customHeight="1" spans="1:4">
      <c r="A74" t="s">
        <v>137</v>
      </c>
      <c r="B74" s="59">
        <v>315</v>
      </c>
      <c r="C74" t="s">
        <v>138</v>
      </c>
    </row>
    <row r="75" customHeight="1" spans="1:4">
      <c r="A75" t="s">
        <v>139</v>
      </c>
      <c r="B75" s="59">
        <v>23</v>
      </c>
      <c r="C75" t="s">
        <v>140</v>
      </c>
    </row>
    <row r="76" customHeight="1" spans="1:4">
      <c r="A76" t="s">
        <v>141</v>
      </c>
      <c r="B76" s="59">
        <v>15</v>
      </c>
      <c r="C76" t="s">
        <v>142</v>
      </c>
    </row>
    <row r="77" customHeight="1" spans="1:4">
      <c r="A77" t="s">
        <v>143</v>
      </c>
      <c r="B77" s="59">
        <v>2</v>
      </c>
      <c r="C77" t="s">
        <v>144</v>
      </c>
    </row>
    <row r="78" customHeight="1" spans="1:4">
      <c r="A78" t="s">
        <v>145</v>
      </c>
      <c r="B78" s="60">
        <f>SUM(B74:B76)*B77/60*$B$4</f>
        <v>447.133333333333</v>
      </c>
      <c r="C78" t="s">
        <v>146</v>
      </c>
    </row>
    <row r="80" customHeight="1" spans="1:4">
      <c r="A80" t="s">
        <v>147</v>
      </c>
    </row>
  </sheetData>
  <mergeCells count="7">
    <mergeCell ref="A1:D1"/>
    <mergeCell ref="A52:D52"/>
    <mergeCell ref="A53:D53"/>
    <mergeCell ref="A54:D54"/>
    <mergeCell ref="A63:D63"/>
    <mergeCell ref="A17:D19"/>
    <mergeCell ref="A30:D32"/>
  </mergeCells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"/>
  <sheetViews>
    <sheetView workbookViewId="0">
      <selection activeCell="A1" sqref="A1:J1"/>
    </sheetView>
  </sheetViews>
  <sheetFormatPr defaultColWidth="9" defaultRowHeight="13.5"/>
  <cols>
    <col min="1" max="1" width="21" customWidth="1"/>
    <col min="2" max="9" width="17" customWidth="1"/>
    <col min="10" max="10" width="45" customWidth="1"/>
  </cols>
  <sheetData>
    <row r="1" ht="20.6" spans="1:18">
      <c r="A1" s="21" t="s">
        <v>148</v>
      </c>
      <c r="B1" s="21"/>
      <c r="C1" s="21"/>
      <c r="D1" s="21"/>
      <c r="E1" s="21"/>
      <c r="F1" s="21"/>
      <c r="G1" s="21"/>
      <c r="H1" s="21"/>
      <c r="I1" s="21"/>
      <c r="J1" s="21"/>
      <c r="K1" s="22"/>
      <c r="L1" s="22"/>
      <c r="M1" s="22"/>
      <c r="N1" s="22"/>
      <c r="O1" s="22"/>
      <c r="P1" s="22"/>
      <c r="Q1" s="22"/>
      <c r="R1" s="22"/>
    </row>
    <row r="2" spans="1:18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ht="36" customHeight="1" spans="1:18">
      <c r="A3" s="23" t="s">
        <v>2</v>
      </c>
      <c r="B3" s="23" t="s">
        <v>7</v>
      </c>
      <c r="C3" s="23" t="s">
        <v>149</v>
      </c>
      <c r="D3" s="23" t="s">
        <v>150</v>
      </c>
      <c r="E3" s="23" t="s">
        <v>151</v>
      </c>
      <c r="F3" s="23" t="s">
        <v>152</v>
      </c>
      <c r="G3" s="23" t="s">
        <v>153</v>
      </c>
      <c r="H3" s="23" t="s">
        <v>154</v>
      </c>
      <c r="I3" s="23" t="s">
        <v>10</v>
      </c>
      <c r="J3" s="23" t="s">
        <v>155</v>
      </c>
      <c r="K3" s="22"/>
      <c r="L3" s="22"/>
      <c r="M3" s="22"/>
      <c r="N3" s="22"/>
      <c r="O3" s="22"/>
      <c r="P3" s="22"/>
      <c r="Q3" s="22"/>
      <c r="R3" s="22"/>
    </row>
    <row r="4" ht="27" spans="1:18">
      <c r="A4" s="24" t="str">
        <f>'D6 Cost Ledger'!A5</f>
        <v>GPT-4o mini</v>
      </c>
      <c r="B4" s="25">
        <f>'D6 Cost Ledger'!F5</f>
        <v>1</v>
      </c>
      <c r="C4" s="26">
        <f>'D6 Cost Ledger'!O5</f>
        <v>0.00212461100917431</v>
      </c>
      <c r="D4" s="26">
        <f>'D6 Cost Ledger'!P5</f>
        <v>0</v>
      </c>
      <c r="E4" s="26">
        <f>'D6 Cost Ledger'!Q5</f>
        <v>0.00212461100917431</v>
      </c>
      <c r="F4" s="26">
        <f>'D6 Cost Ledger'!R5</f>
        <v>7.59787538899083</v>
      </c>
      <c r="G4" s="26">
        <f>E4/'D6 Assumptions'!$B$46</f>
        <v>0.000279554080154515</v>
      </c>
      <c r="H4" s="27">
        <f>'D6 Cost Ledger'!D5-'D6 Cost Ledger'!E5</f>
        <v>0</v>
      </c>
      <c r="I4" s="27">
        <f>'D6 Cost Ledger'!I5</f>
        <v>4</v>
      </c>
      <c r="J4" s="28" t="s">
        <v>156</v>
      </c>
      <c r="K4" s="22"/>
      <c r="L4" s="22"/>
      <c r="M4" s="22"/>
      <c r="N4" s="22"/>
      <c r="O4" s="22"/>
      <c r="P4" s="22"/>
      <c r="Q4" s="22"/>
      <c r="R4" s="22"/>
    </row>
    <row r="5" ht="27" spans="1:18">
      <c r="A5" s="24" t="str">
        <f>'D6 Cost Ledger'!A6</f>
        <v>Gemini 3.8 Flash</v>
      </c>
      <c r="B5" s="25">
        <f>'D6 Cost Ledger'!F6</f>
        <v>0.917431192660551</v>
      </c>
      <c r="C5" s="26">
        <f>'D6 Cost Ledger'!O6</f>
        <v>0.0157102362385321</v>
      </c>
      <c r="D5" s="26">
        <f>'D6 Cost Ledger'!P6</f>
        <v>0.627522935779816</v>
      </c>
      <c r="E5" s="26">
        <f>'D6 Cost Ledger'!Q6</f>
        <v>0.643233172018348</v>
      </c>
      <c r="F5" s="26">
        <f>'D6 Cost Ledger'!R6</f>
        <v>6.95676682798165</v>
      </c>
      <c r="G5" s="26">
        <f>E5/'D6 Assumptions'!$B$46</f>
        <v>0.0846359436866248</v>
      </c>
      <c r="H5" s="27">
        <f>'D6 Cost Ledger'!D6-'D6 Cost Ledger'!E6</f>
        <v>9</v>
      </c>
      <c r="I5" s="27">
        <f>'D6 Cost Ledger'!I6</f>
        <v>2</v>
      </c>
      <c r="J5" s="28" t="s">
        <v>157</v>
      </c>
      <c r="K5" s="22"/>
      <c r="L5" s="22"/>
      <c r="M5" s="22"/>
      <c r="N5" s="22"/>
      <c r="O5" s="22"/>
      <c r="P5" s="22"/>
      <c r="Q5" s="22"/>
      <c r="R5" s="22"/>
    </row>
    <row r="6" spans="1:18">
      <c r="A6" s="24" t="str">
        <f>'D6 Cost Ledger'!A7</f>
        <v>GPT-5.6 Luna</v>
      </c>
      <c r="B6" s="25">
        <f>'D6 Cost Ledger'!F7</f>
        <v>0.990825688073395</v>
      </c>
      <c r="C6" s="26">
        <f>'D6 Cost Ledger'!O7</f>
        <v>0.00329247155963303</v>
      </c>
      <c r="D6" s="26">
        <f>'D6 Cost Ledger'!P7</f>
        <v>0.0697247706422014</v>
      </c>
      <c r="E6" s="26">
        <f>'D6 Cost Ledger'!Q7</f>
        <v>0.0730172422018344</v>
      </c>
      <c r="F6" s="26">
        <f>'D6 Cost Ledger'!R7</f>
        <v>7.52698275779816</v>
      </c>
      <c r="G6" s="26">
        <f>E6/'D6 Assumptions'!$B$46</f>
        <v>0.00960753186866243</v>
      </c>
      <c r="H6" s="27">
        <f>'D6 Cost Ledger'!D7-'D6 Cost Ledger'!E7</f>
        <v>1</v>
      </c>
      <c r="I6" s="27">
        <f>'D6 Cost Ledger'!I7</f>
        <v>2</v>
      </c>
      <c r="J6" s="28" t="s">
        <v>158</v>
      </c>
      <c r="K6" s="22"/>
      <c r="L6" s="22"/>
      <c r="M6" s="22"/>
      <c r="N6" s="22"/>
      <c r="O6" s="22"/>
      <c r="P6" s="22"/>
      <c r="Q6" s="22"/>
      <c r="R6" s="22"/>
    </row>
    <row r="7" ht="27" spans="1:18">
      <c r="A7" s="24" t="str">
        <f>'D6 Cost Ledger'!A8</f>
        <v>Qwen 3.8 Max</v>
      </c>
      <c r="B7" s="25">
        <f>'D6 Cost Ledger'!F8</f>
        <v>0.981651376146789</v>
      </c>
      <c r="C7" s="26">
        <f>'D6 Cost Ledger'!O8</f>
        <v>0.026419119266055</v>
      </c>
      <c r="D7" s="26">
        <f>'D6 Cost Ledger'!P8</f>
        <v>0.139449541284404</v>
      </c>
      <c r="E7" s="26">
        <f>'D6 Cost Ledger'!Q8</f>
        <v>0.165868660550459</v>
      </c>
      <c r="F7" s="26">
        <f>'D6 Cost Ledger'!R8</f>
        <v>7.43413133944954</v>
      </c>
      <c r="G7" s="26">
        <f>E7/'D6 Assumptions'!$B$46</f>
        <v>0.0218248237566393</v>
      </c>
      <c r="H7" s="27">
        <f>'D6 Cost Ledger'!D8-'D6 Cost Ledger'!E8</f>
        <v>2</v>
      </c>
      <c r="I7" s="27">
        <f>'D6 Cost Ledger'!I8</f>
        <v>3</v>
      </c>
      <c r="J7" s="28" t="s">
        <v>159</v>
      </c>
      <c r="K7" s="22"/>
      <c r="L7" s="22"/>
      <c r="M7" s="22"/>
      <c r="N7" s="22"/>
      <c r="O7" s="22"/>
      <c r="P7" s="22"/>
      <c r="Q7" s="22"/>
      <c r="R7" s="22"/>
    </row>
    <row r="8" ht="27" spans="1:18">
      <c r="A8" s="24" t="str">
        <f>'D6 Cost Ledger'!A9</f>
        <v>DeepSeek Flash Latest</v>
      </c>
      <c r="B8" s="25">
        <f>'D6 Cost Ledger'!F9</f>
        <v>0.944954128440367</v>
      </c>
      <c r="C8" s="26">
        <f>'D6 Cost Ledger'!O9</f>
        <v>0.00172702018348624</v>
      </c>
      <c r="D8" s="26">
        <f>'D6 Cost Ledger'!P9</f>
        <v>0.418348623853211</v>
      </c>
      <c r="E8" s="26">
        <f>'D6 Cost Ledger'!Q9</f>
        <v>0.420075644036697</v>
      </c>
      <c r="F8" s="26">
        <f>'D6 Cost Ledger'!R9</f>
        <v>7.1799243559633</v>
      </c>
      <c r="G8" s="26">
        <f>E8/'D6 Assumptions'!$B$46</f>
        <v>0.0552731110574602</v>
      </c>
      <c r="H8" s="27">
        <f>'D6 Cost Ledger'!D9-'D6 Cost Ledger'!E9</f>
        <v>6</v>
      </c>
      <c r="I8" s="27">
        <f>'D6 Cost Ledger'!I9</f>
        <v>2</v>
      </c>
      <c r="J8" s="28" t="s">
        <v>160</v>
      </c>
      <c r="K8" s="22"/>
      <c r="L8" s="22"/>
      <c r="M8" s="22"/>
      <c r="N8" s="22"/>
      <c r="O8" s="22"/>
      <c r="P8" s="22"/>
      <c r="Q8" s="22"/>
      <c r="R8" s="22"/>
    </row>
    <row r="9" spans="1:18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spans="1:18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</row>
    <row r="11" spans="1:18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</row>
    <row r="12" ht="36" customHeight="1" spans="1:18">
      <c r="A12" s="23" t="s">
        <v>161</v>
      </c>
      <c r="B12" s="23" t="s">
        <v>162</v>
      </c>
      <c r="C12" s="23" t="s">
        <v>152</v>
      </c>
      <c r="D12" s="23" t="s">
        <v>163</v>
      </c>
      <c r="E12" s="22"/>
      <c r="F12" s="23" t="s">
        <v>164</v>
      </c>
      <c r="G12" s="23"/>
      <c r="H12" s="23"/>
      <c r="I12" s="23"/>
      <c r="J12" s="23"/>
      <c r="K12" s="22"/>
      <c r="L12" s="22"/>
      <c r="M12" s="22"/>
      <c r="N12" s="22"/>
      <c r="O12" s="22"/>
      <c r="P12" s="22"/>
      <c r="Q12" s="22"/>
      <c r="R12" s="22"/>
    </row>
    <row r="13" spans="1:18">
      <c r="A13" s="29">
        <v>0.9</v>
      </c>
      <c r="B13" s="30">
        <f>D13+(1-A13)*'D6 Assumptions'!$B$6</f>
        <v>0.762124611009174</v>
      </c>
      <c r="C13" s="30">
        <f>'D6 Assumptions'!$B$6-B13</f>
        <v>6.83787538899083</v>
      </c>
      <c r="D13" s="30">
        <f>'D6 Cost Ledger'!O5</f>
        <v>0.00212461100917431</v>
      </c>
      <c r="E13" s="22"/>
      <c r="F13" s="31" t="s">
        <v>165</v>
      </c>
      <c r="G13" s="31"/>
      <c r="H13" s="31"/>
      <c r="I13" s="31"/>
      <c r="J13" s="31"/>
      <c r="K13" s="22"/>
      <c r="L13" s="22"/>
      <c r="M13" s="22"/>
      <c r="N13" s="22"/>
      <c r="O13" s="22"/>
      <c r="P13" s="22"/>
      <c r="Q13" s="22"/>
      <c r="R13" s="22"/>
    </row>
    <row r="14" spans="1:18">
      <c r="A14" s="29">
        <v>0.95</v>
      </c>
      <c r="B14" s="30">
        <f>D14+(1-A14)*'D6 Assumptions'!$B$6</f>
        <v>0.382124611009175</v>
      </c>
      <c r="C14" s="30">
        <f>'D6 Assumptions'!$B$6-B14</f>
        <v>7.21787538899082</v>
      </c>
      <c r="D14" s="30">
        <f>'D6 Cost Ledger'!O5</f>
        <v>0.00212461100917431</v>
      </c>
      <c r="E14" s="22"/>
      <c r="F14" s="31"/>
      <c r="G14" s="31"/>
      <c r="H14" s="31"/>
      <c r="I14" s="31"/>
      <c r="J14" s="31"/>
      <c r="K14" s="22"/>
      <c r="L14" s="22"/>
      <c r="M14" s="22"/>
      <c r="N14" s="22"/>
      <c r="O14" s="22"/>
      <c r="P14" s="22"/>
      <c r="Q14" s="22"/>
      <c r="R14" s="22"/>
    </row>
    <row r="15" spans="1:18">
      <c r="A15" s="29">
        <v>0.97</v>
      </c>
      <c r="B15" s="30">
        <f>D15+(1-A15)*'D6 Assumptions'!$B$6</f>
        <v>0.230124611009175</v>
      </c>
      <c r="C15" s="30">
        <f>'D6 Assumptions'!$B$6-B15</f>
        <v>7.36987538899082</v>
      </c>
      <c r="D15" s="30">
        <f>'D6 Cost Ledger'!O5</f>
        <v>0.00212461100917431</v>
      </c>
      <c r="E15" s="22"/>
      <c r="F15" s="31"/>
      <c r="G15" s="31"/>
      <c r="H15" s="31"/>
      <c r="I15" s="31"/>
      <c r="J15" s="31"/>
      <c r="K15" s="22"/>
      <c r="L15" s="22"/>
      <c r="M15" s="22"/>
      <c r="N15" s="22"/>
      <c r="O15" s="22"/>
      <c r="P15" s="22"/>
      <c r="Q15" s="22"/>
      <c r="R15" s="22"/>
    </row>
    <row r="16" spans="1:18">
      <c r="A16" s="29">
        <v>0.98</v>
      </c>
      <c r="B16" s="30">
        <f>D16+(1-A16)*'D6 Assumptions'!$B$6</f>
        <v>0.154124611009174</v>
      </c>
      <c r="C16" s="30">
        <f>'D6 Assumptions'!$B$6-B16</f>
        <v>7.44587538899083</v>
      </c>
      <c r="D16" s="30">
        <f>'D6 Cost Ledger'!O5</f>
        <v>0.00212461100917431</v>
      </c>
      <c r="E16" s="22"/>
      <c r="F16" s="31"/>
      <c r="G16" s="31"/>
      <c r="H16" s="31"/>
      <c r="I16" s="31"/>
      <c r="J16" s="31"/>
      <c r="K16" s="22"/>
      <c r="L16" s="22"/>
      <c r="M16" s="22"/>
      <c r="N16" s="22"/>
      <c r="O16" s="22"/>
      <c r="P16" s="22"/>
      <c r="Q16" s="22"/>
      <c r="R16" s="22"/>
    </row>
    <row r="17" spans="1:18">
      <c r="A17" s="29">
        <v>0.99</v>
      </c>
      <c r="B17" s="30">
        <f>D17+(1-A17)*'D6 Assumptions'!$B$6</f>
        <v>0.0781246110091744</v>
      </c>
      <c r="C17" s="30">
        <f>'D6 Assumptions'!$B$6-B17</f>
        <v>7.52187538899082</v>
      </c>
      <c r="D17" s="30">
        <f>'D6 Cost Ledger'!O5</f>
        <v>0.00212461100917431</v>
      </c>
      <c r="E17" s="22"/>
      <c r="F17" s="31"/>
      <c r="G17" s="31"/>
      <c r="H17" s="31"/>
      <c r="I17" s="31"/>
      <c r="J17" s="31"/>
      <c r="K17" s="22"/>
      <c r="L17" s="22"/>
      <c r="M17" s="22"/>
      <c r="N17" s="22"/>
      <c r="O17" s="22"/>
      <c r="P17" s="22"/>
      <c r="Q17" s="22"/>
      <c r="R17" s="22"/>
    </row>
    <row r="18" spans="1:18">
      <c r="A18" s="29">
        <v>0.995</v>
      </c>
      <c r="B18" s="30">
        <f>D18+(1-A18)*'D6 Assumptions'!$B$6</f>
        <v>0.0401246110091743</v>
      </c>
      <c r="C18" s="30">
        <f>'D6 Assumptions'!$B$6-B18</f>
        <v>7.55987538899083</v>
      </c>
      <c r="D18" s="30">
        <f>'D6 Cost Ledger'!O5</f>
        <v>0.00212461100917431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</row>
    <row r="19" spans="1:18">
      <c r="A19" s="29">
        <v>1</v>
      </c>
      <c r="B19" s="30">
        <f>D19+(1-A19)*'D6 Assumptions'!$B$6</f>
        <v>0.00212461100917431</v>
      </c>
      <c r="C19" s="30">
        <f>'D6 Assumptions'!$B$6-B19</f>
        <v>7.59787538899083</v>
      </c>
      <c r="D19" s="30">
        <f>'D6 Cost Ledger'!O5</f>
        <v>0.00212461100917431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</row>
    <row r="20" spans="1:18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</row>
    <row r="21" spans="1:18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</row>
    <row r="22" spans="1:18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</row>
    <row r="23" ht="38" customHeight="1" spans="1:18">
      <c r="A23" s="32" t="s">
        <v>166</v>
      </c>
      <c r="B23" s="32"/>
      <c r="C23" s="32"/>
      <c r="D23" s="32"/>
      <c r="E23" s="32"/>
      <c r="F23" s="32"/>
      <c r="G23" s="32"/>
      <c r="H23" s="32"/>
      <c r="I23" s="32"/>
      <c r="J23" s="32"/>
      <c r="K23" s="22"/>
      <c r="L23" s="22"/>
      <c r="M23" s="22"/>
      <c r="N23" s="22"/>
      <c r="O23" s="22"/>
      <c r="P23" s="22"/>
      <c r="Q23" s="22"/>
      <c r="R23" s="22"/>
    </row>
    <row r="24" ht="38" customHeight="1" spans="1:18">
      <c r="A24" s="32" t="s">
        <v>167</v>
      </c>
      <c r="B24" s="32"/>
      <c r="C24" s="32"/>
      <c r="D24" s="32"/>
      <c r="E24" s="32"/>
      <c r="F24" s="32"/>
      <c r="G24" s="32"/>
      <c r="H24" s="32"/>
      <c r="I24" s="32"/>
      <c r="J24" s="32"/>
      <c r="K24" s="22"/>
      <c r="L24" s="22"/>
      <c r="M24" s="22"/>
      <c r="N24" s="22"/>
      <c r="O24" s="22"/>
      <c r="P24" s="22"/>
      <c r="Q24" s="22"/>
      <c r="R24" s="22"/>
    </row>
    <row r="25" spans="1:18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</row>
  </sheetData>
  <mergeCells count="5">
    <mergeCell ref="A1:J1"/>
    <mergeCell ref="F12:J12"/>
    <mergeCell ref="A23:J23"/>
    <mergeCell ref="A24:J24"/>
    <mergeCell ref="F13:J17"/>
  </mergeCells>
  <conditionalFormatting sqref="E4:E8">
    <cfRule type="dataBar" priority="1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{a8c8c484-a90a-40fe-b35b-f7d8b5cef7d8}</x14:id>
        </ext>
      </extLst>
    </cfRule>
  </conditionalFormatting>
  <pageMargins left="0.7" right="0.7" top="0.75" bottom="0.75" header="0.3" footer="0.3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c8c484-a90a-40fe-b35b-f7d8b5cef7d8}">
            <x14:dataBar minLength="10" maxLength="90" negativeBarColorSameAsPositive="1">
              <x14:cfvo type="min"/>
              <x14:cfvo type="max"/>
              <x14:axisColor indexed="65"/>
            </x14:dataBar>
          </x14:cfRule>
          <xm:sqref>E4:E8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showGridLines="0" workbookViewId="0">
      <selection activeCell="A1" sqref="A1"/>
    </sheetView>
  </sheetViews>
  <sheetFormatPr defaultColWidth="9" defaultRowHeight="13.5"/>
  <cols>
    <col min="1" max="1" width="25" customWidth="1"/>
    <col min="2" max="10" width="17" customWidth="1"/>
  </cols>
  <sheetData>
    <row r="1" ht="25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38" customHeight="1" spans="1:10">
      <c r="A2" s="2" t="s">
        <v>168</v>
      </c>
      <c r="B2" s="2"/>
      <c r="C2" s="2"/>
      <c r="D2" s="2"/>
      <c r="E2" s="2"/>
      <c r="F2" s="2"/>
      <c r="G2" s="2"/>
      <c r="H2" s="2"/>
      <c r="I2" s="2"/>
      <c r="J2" s="2"/>
    </row>
    <row r="3" ht="38" customHeight="1" spans="1:10">
      <c r="A3" s="3" t="s">
        <v>169</v>
      </c>
      <c r="B3" s="3"/>
      <c r="C3" s="3"/>
      <c r="D3" s="3"/>
      <c r="E3" s="3"/>
      <c r="F3" s="3"/>
      <c r="G3" s="3"/>
      <c r="H3" s="3"/>
      <c r="I3" s="3"/>
      <c r="J3" s="3"/>
    </row>
    <row r="4" ht="44" customHeight="1" spans="1:10">
      <c r="A4" s="4" t="s">
        <v>2</v>
      </c>
      <c r="B4" s="4" t="s">
        <v>170</v>
      </c>
      <c r="C4" s="4" t="s">
        <v>171</v>
      </c>
      <c r="D4" s="4" t="s">
        <v>172</v>
      </c>
      <c r="E4" s="4" t="s">
        <v>173</v>
      </c>
      <c r="F4" s="4" t="s">
        <v>174</v>
      </c>
      <c r="G4" s="4" t="s">
        <v>175</v>
      </c>
      <c r="H4" s="4" t="s">
        <v>176</v>
      </c>
      <c r="I4" s="4" t="s">
        <v>177</v>
      </c>
      <c r="J4" s="4" t="s">
        <v>178</v>
      </c>
    </row>
    <row r="5" ht="25" customHeight="1" spans="1:10">
      <c r="A5" s="1" t="str">
        <f>'D6 Cost Ledger'!A5</f>
        <v>GPT-4o mini</v>
      </c>
      <c r="B5" s="6">
        <f>'D6 Cost Ledger'!F5</f>
        <v>1</v>
      </c>
      <c r="C5" s="13">
        <f>'D6 Cost Ledger'!O5</f>
        <v>0.00212461100917431</v>
      </c>
      <c r="D5" s="13">
        <f>'D6 Cost Ledger'!P5</f>
        <v>0</v>
      </c>
      <c r="E5" s="13">
        <f>'D6 Cost Ledger'!Q5</f>
        <v>0.00212461100917431</v>
      </c>
      <c r="F5" s="14">
        <f>C5*'D6 Assumptions'!$B$35</f>
        <v>16.9968880733945</v>
      </c>
      <c r="G5" s="14">
        <f>D5*'D6 Assumptions'!$B$35</f>
        <v>0</v>
      </c>
      <c r="H5" s="14">
        <f>E5*'D6 Assumptions'!$B$35</f>
        <v>16.9968880733945</v>
      </c>
      <c r="I5" s="15">
        <f>H5+'D6 Assumptions'!$B$42</f>
        <v>441.228470673394</v>
      </c>
      <c r="J5" s="5">
        <f>IF(E5=0,0,D5/E5)</f>
        <v>0</v>
      </c>
    </row>
    <row r="6" ht="25" customHeight="1" spans="1:10">
      <c r="A6" s="1" t="str">
        <f>'D6 Cost Ledger'!A6</f>
        <v>Gemini 3.8 Flash</v>
      </c>
      <c r="B6" s="6">
        <f>'D6 Cost Ledger'!F6</f>
        <v>0.917431192660551</v>
      </c>
      <c r="C6" s="13">
        <f>'D6 Cost Ledger'!O6</f>
        <v>0.0157102362385321</v>
      </c>
      <c r="D6" s="13">
        <f>'D6 Cost Ledger'!P6</f>
        <v>0.627522935779816</v>
      </c>
      <c r="E6" s="13">
        <f>'D6 Cost Ledger'!Q6</f>
        <v>0.643233172018348</v>
      </c>
      <c r="F6" s="14">
        <f>C6*'D6 Assumptions'!$B$35</f>
        <v>125.681889908257</v>
      </c>
      <c r="G6" s="14">
        <f>D6*'D6 Assumptions'!$B$35</f>
        <v>5020.18348623853</v>
      </c>
      <c r="H6" s="14">
        <f>E6*'D6 Assumptions'!$B$35</f>
        <v>5145.86537614679</v>
      </c>
      <c r="I6" s="15">
        <f>H6+'D6 Assumptions'!$B$42</f>
        <v>5570.09695874679</v>
      </c>
      <c r="J6" s="5">
        <f>IF(E6=0,0,D6/E6)</f>
        <v>0.975576141091673</v>
      </c>
    </row>
    <row r="7" ht="25" customHeight="1" spans="1:10">
      <c r="A7" s="1" t="str">
        <f>'D6 Cost Ledger'!A7</f>
        <v>GPT-5.6 Luna</v>
      </c>
      <c r="B7" s="6">
        <f>'D6 Cost Ledger'!F7</f>
        <v>0.990825688073395</v>
      </c>
      <c r="C7" s="13">
        <f>'D6 Cost Ledger'!O7</f>
        <v>0.00329247155963303</v>
      </c>
      <c r="D7" s="13">
        <f>'D6 Cost Ledger'!P7</f>
        <v>0.0697247706422014</v>
      </c>
      <c r="E7" s="13">
        <f>'D6 Cost Ledger'!Q7</f>
        <v>0.0730172422018344</v>
      </c>
      <c r="F7" s="14">
        <f>C7*'D6 Assumptions'!$B$35</f>
        <v>26.3397724770642</v>
      </c>
      <c r="G7" s="14">
        <f>D7*'D6 Assumptions'!$B$35</f>
        <v>557.798165137611</v>
      </c>
      <c r="H7" s="14">
        <f>E7*'D6 Assumptions'!$B$35</f>
        <v>584.137937614675</v>
      </c>
      <c r="I7" s="15">
        <f>H7+'D6 Assumptions'!$B$42</f>
        <v>1008.36952021468</v>
      </c>
      <c r="J7" s="5">
        <f>IF(E7=0,0,D7/E7)</f>
        <v>0.95490830028157</v>
      </c>
    </row>
    <row r="8" ht="25" customHeight="1" spans="1:10">
      <c r="A8" s="1" t="str">
        <f>'D6 Cost Ledger'!A8</f>
        <v>Qwen 3.8 Max</v>
      </c>
      <c r="B8" s="6">
        <f>'D6 Cost Ledger'!F8</f>
        <v>0.981651376146789</v>
      </c>
      <c r="C8" s="13">
        <f>'D6 Cost Ledger'!O8</f>
        <v>0.026419119266055</v>
      </c>
      <c r="D8" s="13">
        <f>'D6 Cost Ledger'!P8</f>
        <v>0.139449541284404</v>
      </c>
      <c r="E8" s="13">
        <f>'D6 Cost Ledger'!Q8</f>
        <v>0.165868660550459</v>
      </c>
      <c r="F8" s="14">
        <f>C8*'D6 Assumptions'!$B$35</f>
        <v>211.35295412844</v>
      </c>
      <c r="G8" s="14">
        <f>D8*'D6 Assumptions'!$B$35</f>
        <v>1115.59633027523</v>
      </c>
      <c r="H8" s="14">
        <f>E8*'D6 Assumptions'!$B$35</f>
        <v>1326.94928440367</v>
      </c>
      <c r="I8" s="15">
        <f>H8+'D6 Assumptions'!$B$42</f>
        <v>1751.18086700367</v>
      </c>
      <c r="J8" s="5">
        <f>IF(E8=0,0,D8/E8)</f>
        <v>0.840722658648237</v>
      </c>
    </row>
    <row r="9" ht="25" customHeight="1" spans="1:10">
      <c r="A9" s="1" t="str">
        <f>'D6 Cost Ledger'!A9</f>
        <v>DeepSeek Flash Latest</v>
      </c>
      <c r="B9" s="6">
        <f>'D6 Cost Ledger'!F9</f>
        <v>0.944954128440367</v>
      </c>
      <c r="C9" s="13">
        <f>'D6 Cost Ledger'!O9</f>
        <v>0.00172702018348624</v>
      </c>
      <c r="D9" s="13">
        <f>'D6 Cost Ledger'!P9</f>
        <v>0.418348623853211</v>
      </c>
      <c r="E9" s="13">
        <f>'D6 Cost Ledger'!Q9</f>
        <v>0.420075644036697</v>
      </c>
      <c r="F9" s="14">
        <f>C9*'D6 Assumptions'!$B$35</f>
        <v>13.8161614678899</v>
      </c>
      <c r="G9" s="14">
        <f>D9*'D6 Assumptions'!$B$35</f>
        <v>3346.78899082569</v>
      </c>
      <c r="H9" s="14">
        <f>E9*'D6 Assumptions'!$B$35</f>
        <v>3360.60515229358</v>
      </c>
      <c r="I9" s="15">
        <f>H9+'D6 Assumptions'!$B$42</f>
        <v>3784.83673489358</v>
      </c>
      <c r="J9" s="5">
        <f>IF(E9=0,0,D9/E9)</f>
        <v>0.99588878763146</v>
      </c>
    </row>
    <row r="10" ht="25" customHeight="1" spans="1:10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ht="38" customHeight="1" spans="1:10">
      <c r="A11" s="3" t="s">
        <v>179</v>
      </c>
      <c r="B11" s="3"/>
      <c r="C11" s="3"/>
      <c r="D11" s="3"/>
      <c r="E11" s="3"/>
      <c r="F11" s="3"/>
      <c r="G11" s="3"/>
      <c r="H11" s="3"/>
      <c r="I11" s="3"/>
      <c r="J11" s="3"/>
    </row>
    <row r="12" ht="25" customHeight="1" spans="1:10">
      <c r="A12" s="1" t="s">
        <v>180</v>
      </c>
      <c r="B12" s="1"/>
      <c r="C12" s="7">
        <f>SUM('D6 Cost Ledger'!N5:N9)</f>
        <v>5.37080695</v>
      </c>
      <c r="D12" s="1"/>
      <c r="E12" s="1"/>
      <c r="F12" s="1"/>
      <c r="G12" s="1"/>
      <c r="H12" s="1"/>
      <c r="I12" s="1"/>
      <c r="J12" s="1"/>
    </row>
    <row r="13" ht="38" customHeight="1" spans="1:10">
      <c r="A13" s="3" t="s">
        <v>181</v>
      </c>
      <c r="B13" s="3"/>
      <c r="C13" s="16">
        <f>'D6 Assumptions'!$B$78</f>
        <v>447.133333333333</v>
      </c>
      <c r="D13" s="3"/>
      <c r="E13" s="3"/>
      <c r="F13" s="3"/>
      <c r="G13" s="3"/>
      <c r="H13" s="3"/>
      <c r="I13" s="3"/>
      <c r="J13" s="3"/>
    </row>
    <row r="14" ht="25" customHeight="1" spans="1:10">
      <c r="A14" s="1" t="s">
        <v>182</v>
      </c>
      <c r="B14" s="1"/>
      <c r="C14" s="1"/>
      <c r="D14" s="1"/>
      <c r="E14" s="1"/>
      <c r="F14" s="1"/>
      <c r="G14" s="1"/>
      <c r="H14" s="1"/>
      <c r="I14" s="1"/>
      <c r="J14" s="1"/>
    </row>
    <row r="15" ht="25" customHeight="1" spans="1:10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ht="44" customHeight="1" spans="1:10">
      <c r="A16" s="4" t="s">
        <v>2</v>
      </c>
      <c r="B16" s="4" t="s">
        <v>183</v>
      </c>
      <c r="C16" s="4" t="s">
        <v>184</v>
      </c>
      <c r="D16" s="4" t="s">
        <v>171</v>
      </c>
      <c r="E16" s="4" t="s">
        <v>172</v>
      </c>
      <c r="F16" s="4" t="s">
        <v>173</v>
      </c>
      <c r="G16" s="4" t="s">
        <v>185</v>
      </c>
      <c r="H16" s="4" t="s">
        <v>186</v>
      </c>
      <c r="I16" s="1"/>
      <c r="J16" s="1"/>
    </row>
    <row r="17" ht="25" customHeight="1" spans="1:10">
      <c r="A17" s="1" t="str">
        <f>$A$5</f>
        <v>GPT-4o mini</v>
      </c>
      <c r="B17" s="6">
        <v>-0.1</v>
      </c>
      <c r="C17" s="6">
        <f>MIN(1,MAX(0,$B$5+B17))</f>
        <v>0.9</v>
      </c>
      <c r="D17" s="7">
        <f>$C$5</f>
        <v>0.00212461100917431</v>
      </c>
      <c r="E17" s="7">
        <f>(1-C17)*'D6 Assumptions'!$B$6</f>
        <v>0.76</v>
      </c>
      <c r="F17" s="7">
        <f t="shared" ref="F17:F31" si="0">D17+E17</f>
        <v>0.762124611009174</v>
      </c>
      <c r="G17" s="17">
        <f>F17*'D6 Assumptions'!$B$35+'D6 Assumptions'!$B$42</f>
        <v>6521.22847067339</v>
      </c>
      <c r="H17" s="17">
        <f>G17-$I$5</f>
        <v>6080</v>
      </c>
      <c r="I17" s="1"/>
      <c r="J17" s="1"/>
    </row>
    <row r="18" ht="25" customHeight="1" spans="1:10">
      <c r="A18" s="1" t="str">
        <f>$A$5</f>
        <v>GPT-4o mini</v>
      </c>
      <c r="B18" s="6">
        <v>0</v>
      </c>
      <c r="C18" s="6">
        <f>MIN(1,MAX(0,$B$5+B18))</f>
        <v>1</v>
      </c>
      <c r="D18" s="7">
        <f>$C$5</f>
        <v>0.00212461100917431</v>
      </c>
      <c r="E18" s="7">
        <f>(1-C18)*'D6 Assumptions'!$B$6</f>
        <v>0</v>
      </c>
      <c r="F18" s="7">
        <f t="shared" si="0"/>
        <v>0.00212461100917431</v>
      </c>
      <c r="G18" s="17">
        <f>F18*'D6 Assumptions'!$B$35+'D6 Assumptions'!$B$42</f>
        <v>441.228470673394</v>
      </c>
      <c r="H18" s="17">
        <f>G18-$I$5</f>
        <v>0</v>
      </c>
      <c r="I18" s="1"/>
      <c r="J18" s="1"/>
    </row>
    <row r="19" ht="25" customHeight="1" spans="1:10">
      <c r="A19" s="1" t="str">
        <f>$A$5</f>
        <v>GPT-4o mini</v>
      </c>
      <c r="B19" s="6">
        <v>0.1</v>
      </c>
      <c r="C19" s="6">
        <f>MIN(1,MAX(0,$B$5+B19))</f>
        <v>1</v>
      </c>
      <c r="D19" s="7">
        <f>$C$5</f>
        <v>0.00212461100917431</v>
      </c>
      <c r="E19" s="7">
        <f>(1-C19)*'D6 Assumptions'!$B$6</f>
        <v>0</v>
      </c>
      <c r="F19" s="7">
        <f t="shared" si="0"/>
        <v>0.00212461100917431</v>
      </c>
      <c r="G19" s="17">
        <f>F19*'D6 Assumptions'!$B$35+'D6 Assumptions'!$B$42</f>
        <v>441.228470673394</v>
      </c>
      <c r="H19" s="17">
        <f>G19-$I$5</f>
        <v>0</v>
      </c>
      <c r="I19" s="1"/>
      <c r="J19" s="1"/>
    </row>
    <row r="20" ht="25" customHeight="1" spans="1:10">
      <c r="A20" s="1" t="str">
        <f>$A$6</f>
        <v>Gemini 3.8 Flash</v>
      </c>
      <c r="B20" s="6">
        <v>-0.1</v>
      </c>
      <c r="C20" s="6">
        <f>MIN(1,MAX(0,$B$6+B20))</f>
        <v>0.817431192660551</v>
      </c>
      <c r="D20" s="7">
        <f>$C$6</f>
        <v>0.0157102362385321</v>
      </c>
      <c r="E20" s="7">
        <f>(1-C20)*'D6 Assumptions'!$B$6</f>
        <v>1.38752293577982</v>
      </c>
      <c r="F20" s="7">
        <f t="shared" si="0"/>
        <v>1.40323317201835</v>
      </c>
      <c r="G20" s="17">
        <f>F20*'D6 Assumptions'!$B$35+'D6 Assumptions'!$B$42</f>
        <v>11650.0969587468</v>
      </c>
      <c r="H20" s="17">
        <f>G20-$I$6</f>
        <v>6080</v>
      </c>
      <c r="I20" s="1"/>
      <c r="J20" s="1"/>
    </row>
    <row r="21" ht="25" customHeight="1" spans="1:10">
      <c r="A21" s="1" t="str">
        <f>$A$6</f>
        <v>Gemini 3.8 Flash</v>
      </c>
      <c r="B21" s="6">
        <v>0</v>
      </c>
      <c r="C21" s="6">
        <f>MIN(1,MAX(0,$B$6+B21))</f>
        <v>0.917431192660551</v>
      </c>
      <c r="D21" s="7">
        <f>$C$6</f>
        <v>0.0157102362385321</v>
      </c>
      <c r="E21" s="7">
        <f>(1-C21)*'D6 Assumptions'!$B$6</f>
        <v>0.627522935779816</v>
      </c>
      <c r="F21" s="7">
        <f t="shared" si="0"/>
        <v>0.643233172018348</v>
      </c>
      <c r="G21" s="17">
        <f>F21*'D6 Assumptions'!$B$35+'D6 Assumptions'!$B$42</f>
        <v>5570.09695874679</v>
      </c>
      <c r="H21" s="17">
        <f>G21-$I$6</f>
        <v>0</v>
      </c>
      <c r="I21" s="1"/>
      <c r="J21" s="1"/>
    </row>
    <row r="22" ht="25" customHeight="1" spans="1:10">
      <c r="A22" s="1" t="str">
        <f>$A$6</f>
        <v>Gemini 3.8 Flash</v>
      </c>
      <c r="B22" s="6">
        <v>0.1</v>
      </c>
      <c r="C22" s="6">
        <f>MIN(1,MAX(0,$B$6+B22))</f>
        <v>1</v>
      </c>
      <c r="D22" s="7">
        <f>$C$6</f>
        <v>0.0157102362385321</v>
      </c>
      <c r="E22" s="7">
        <f>(1-C22)*'D6 Assumptions'!$B$6</f>
        <v>0</v>
      </c>
      <c r="F22" s="7">
        <f t="shared" si="0"/>
        <v>0.0157102362385321</v>
      </c>
      <c r="G22" s="17">
        <f>F22*'D6 Assumptions'!$B$35+'D6 Assumptions'!$B$42</f>
        <v>549.913472508257</v>
      </c>
      <c r="H22" s="17">
        <f>G22-$I$6</f>
        <v>-5020.18348623853</v>
      </c>
      <c r="I22" s="1"/>
      <c r="J22" s="1"/>
    </row>
    <row r="23" ht="25" customHeight="1" spans="1:10">
      <c r="A23" s="1" t="str">
        <f>$A$7</f>
        <v>GPT-5.6 Luna</v>
      </c>
      <c r="B23" s="6">
        <v>-0.1</v>
      </c>
      <c r="C23" s="6">
        <f>MIN(1,MAX(0,$B$7+B23))</f>
        <v>0.890825688073395</v>
      </c>
      <c r="D23" s="7">
        <f>$C$7</f>
        <v>0.00329247155963303</v>
      </c>
      <c r="E23" s="7">
        <f>(1-C23)*'D6 Assumptions'!$B$6</f>
        <v>0.829724770642201</v>
      </c>
      <c r="F23" s="7">
        <f t="shared" si="0"/>
        <v>0.833017242201834</v>
      </c>
      <c r="G23" s="17">
        <f>F23*'D6 Assumptions'!$B$35+'D6 Assumptions'!$B$42</f>
        <v>7088.36952021467</v>
      </c>
      <c r="H23" s="17">
        <f>G23-$I$7</f>
        <v>6080</v>
      </c>
      <c r="I23" s="1"/>
      <c r="J23" s="1"/>
    </row>
    <row r="24" ht="25" customHeight="1" spans="1:10">
      <c r="A24" s="1" t="str">
        <f>$A$7</f>
        <v>GPT-5.6 Luna</v>
      </c>
      <c r="B24" s="6">
        <v>0</v>
      </c>
      <c r="C24" s="6">
        <f>MIN(1,MAX(0,$B$7+B24))</f>
        <v>0.990825688073395</v>
      </c>
      <c r="D24" s="7">
        <f>$C$7</f>
        <v>0.00329247155963303</v>
      </c>
      <c r="E24" s="7">
        <f>(1-C24)*'D6 Assumptions'!$B$6</f>
        <v>0.0697247706422014</v>
      </c>
      <c r="F24" s="7">
        <f t="shared" si="0"/>
        <v>0.0730172422018344</v>
      </c>
      <c r="G24" s="17">
        <f>F24*'D6 Assumptions'!$B$35+'D6 Assumptions'!$B$42</f>
        <v>1008.36952021468</v>
      </c>
      <c r="H24" s="17">
        <f>G24-$I$7</f>
        <v>0</v>
      </c>
      <c r="I24" s="1"/>
      <c r="J24" s="1"/>
    </row>
    <row r="25" ht="25" customHeight="1" spans="1:10">
      <c r="A25" s="1" t="str">
        <f>$A$7</f>
        <v>GPT-5.6 Luna</v>
      </c>
      <c r="B25" s="6">
        <v>0.1</v>
      </c>
      <c r="C25" s="6">
        <f>MIN(1,MAX(0,$B$7+B25))</f>
        <v>1</v>
      </c>
      <c r="D25" s="7">
        <f>$C$7</f>
        <v>0.00329247155963303</v>
      </c>
      <c r="E25" s="7">
        <f>(1-C25)*'D6 Assumptions'!$B$6</f>
        <v>0</v>
      </c>
      <c r="F25" s="7">
        <f t="shared" si="0"/>
        <v>0.00329247155963303</v>
      </c>
      <c r="G25" s="17">
        <f>F25*'D6 Assumptions'!$B$35+'D6 Assumptions'!$B$42</f>
        <v>450.571355077064</v>
      </c>
      <c r="H25" s="17">
        <f>G25-$I$7</f>
        <v>-557.798165137611</v>
      </c>
      <c r="I25" s="1"/>
      <c r="J25" s="1"/>
    </row>
    <row r="26" ht="25" customHeight="1" spans="1:10">
      <c r="A26" s="1" t="str">
        <f>$A$8</f>
        <v>Qwen 3.8 Max</v>
      </c>
      <c r="B26" s="6">
        <v>-0.1</v>
      </c>
      <c r="C26" s="6">
        <f>MIN(1,MAX(0,$B$8+B26))</f>
        <v>0.881651376146789</v>
      </c>
      <c r="D26" s="7">
        <f>$C$8</f>
        <v>0.026419119266055</v>
      </c>
      <c r="E26" s="7">
        <f>(1-C26)*'D6 Assumptions'!$B$6</f>
        <v>0.899449541284403</v>
      </c>
      <c r="F26" s="7">
        <f t="shared" si="0"/>
        <v>0.925868660550458</v>
      </c>
      <c r="G26" s="17">
        <f>F26*'D6 Assumptions'!$B$35+'D6 Assumptions'!$B$42</f>
        <v>7831.18086700367</v>
      </c>
      <c r="H26" s="17">
        <f>G26-$I$8</f>
        <v>6080</v>
      </c>
      <c r="I26" s="1"/>
      <c r="J26" s="1"/>
    </row>
    <row r="27" ht="25" customHeight="1" spans="1:10">
      <c r="A27" s="1" t="str">
        <f>$A$8</f>
        <v>Qwen 3.8 Max</v>
      </c>
      <c r="B27" s="6">
        <v>0</v>
      </c>
      <c r="C27" s="6">
        <f>MIN(1,MAX(0,$B$8+B27))</f>
        <v>0.981651376146789</v>
      </c>
      <c r="D27" s="7">
        <f>$C$8</f>
        <v>0.026419119266055</v>
      </c>
      <c r="E27" s="7">
        <f>(1-C27)*'D6 Assumptions'!$B$6</f>
        <v>0.139449541284404</v>
      </c>
      <c r="F27" s="7">
        <f t="shared" si="0"/>
        <v>0.165868660550459</v>
      </c>
      <c r="G27" s="17">
        <f>F27*'D6 Assumptions'!$B$35+'D6 Assumptions'!$B$42</f>
        <v>1751.18086700367</v>
      </c>
      <c r="H27" s="17">
        <f>G27-$I$8</f>
        <v>0</v>
      </c>
      <c r="I27" s="1"/>
      <c r="J27" s="1"/>
    </row>
    <row r="28" ht="25" customHeight="1" spans="1:10">
      <c r="A28" s="1" t="str">
        <f>$A$8</f>
        <v>Qwen 3.8 Max</v>
      </c>
      <c r="B28" s="6">
        <v>0.1</v>
      </c>
      <c r="C28" s="6">
        <f>MIN(1,MAX(0,$B$8+B28))</f>
        <v>1</v>
      </c>
      <c r="D28" s="7">
        <f>$C$8</f>
        <v>0.026419119266055</v>
      </c>
      <c r="E28" s="7">
        <f>(1-C28)*'D6 Assumptions'!$B$6</f>
        <v>0</v>
      </c>
      <c r="F28" s="7">
        <f t="shared" si="0"/>
        <v>0.026419119266055</v>
      </c>
      <c r="G28" s="17">
        <f>F28*'D6 Assumptions'!$B$35+'D6 Assumptions'!$B$42</f>
        <v>635.58453672844</v>
      </c>
      <c r="H28" s="17">
        <f>G28-$I$8</f>
        <v>-1115.59633027523</v>
      </c>
      <c r="I28" s="1"/>
      <c r="J28" s="1"/>
    </row>
    <row r="29" ht="25" customHeight="1" spans="1:10">
      <c r="A29" s="1" t="str">
        <f>$A$9</f>
        <v>DeepSeek Flash Latest</v>
      </c>
      <c r="B29" s="6">
        <v>-0.1</v>
      </c>
      <c r="C29" s="6">
        <f>MIN(1,MAX(0,$B$9+B29))</f>
        <v>0.844954128440367</v>
      </c>
      <c r="D29" s="7">
        <f>$C$9</f>
        <v>0.00172702018348624</v>
      </c>
      <c r="E29" s="7">
        <f>(1-C29)*'D6 Assumptions'!$B$6</f>
        <v>1.17834862385321</v>
      </c>
      <c r="F29" s="7">
        <f t="shared" si="0"/>
        <v>1.1800756440367</v>
      </c>
      <c r="G29" s="17">
        <f>F29*'D6 Assumptions'!$B$35+'D6 Assumptions'!$B$42</f>
        <v>9864.83673489358</v>
      </c>
      <c r="H29" s="17">
        <f>G29-$I$9</f>
        <v>6080</v>
      </c>
      <c r="I29" s="1"/>
      <c r="J29" s="1"/>
    </row>
    <row r="30" ht="25" customHeight="1" spans="1:10">
      <c r="A30" s="1" t="str">
        <f>$A$9</f>
        <v>DeepSeek Flash Latest</v>
      </c>
      <c r="B30" s="6">
        <v>0</v>
      </c>
      <c r="C30" s="6">
        <f>MIN(1,MAX(0,$B$9+B30))</f>
        <v>0.944954128440367</v>
      </c>
      <c r="D30" s="7">
        <f>$C$9</f>
        <v>0.00172702018348624</v>
      </c>
      <c r="E30" s="7">
        <f>(1-C30)*'D6 Assumptions'!$B$6</f>
        <v>0.418348623853211</v>
      </c>
      <c r="F30" s="7">
        <f t="shared" si="0"/>
        <v>0.420075644036697</v>
      </c>
      <c r="G30" s="17">
        <f>F30*'D6 Assumptions'!$B$35+'D6 Assumptions'!$B$42</f>
        <v>3784.83673489358</v>
      </c>
      <c r="H30" s="17">
        <f>G30-$I$9</f>
        <v>0</v>
      </c>
      <c r="I30" s="1"/>
      <c r="J30" s="1"/>
    </row>
    <row r="31" ht="25" customHeight="1" spans="1:10">
      <c r="A31" s="1" t="str">
        <f>$A$9</f>
        <v>DeepSeek Flash Latest</v>
      </c>
      <c r="B31" s="6">
        <v>0.1</v>
      </c>
      <c r="C31" s="6">
        <f>MIN(1,MAX(0,$B$9+B31))</f>
        <v>1</v>
      </c>
      <c r="D31" s="7">
        <f>$C$9</f>
        <v>0.00172702018348624</v>
      </c>
      <c r="E31" s="7">
        <f>(1-C31)*'D6 Assumptions'!$B$6</f>
        <v>0</v>
      </c>
      <c r="F31" s="7">
        <f t="shared" si="0"/>
        <v>0.00172702018348624</v>
      </c>
      <c r="G31" s="17">
        <f>F31*'D6 Assumptions'!$B$35+'D6 Assumptions'!$B$42</f>
        <v>438.04774406789</v>
      </c>
      <c r="H31" s="17">
        <f>G31-$I$9</f>
        <v>-3346.78899082569</v>
      </c>
      <c r="I31" s="1"/>
      <c r="J31" s="1"/>
    </row>
    <row r="32" ht="25" customHeight="1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38" customHeight="1" spans="1:10">
      <c r="A33" s="3" t="s">
        <v>187</v>
      </c>
      <c r="B33" s="3"/>
      <c r="C33" s="3"/>
      <c r="D33" s="3"/>
      <c r="E33" s="3"/>
      <c r="F33" s="3"/>
      <c r="G33" s="3"/>
      <c r="H33" s="3"/>
      <c r="I33" s="3"/>
      <c r="J33" s="3"/>
    </row>
    <row r="34" ht="25" customHeight="1" spans="1:10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25" customHeight="1" spans="1:10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44" customHeight="1" spans="1:10">
      <c r="A36" s="4" t="s">
        <v>188</v>
      </c>
      <c r="B36" s="4" t="s">
        <v>189</v>
      </c>
      <c r="C36" s="4" t="s">
        <v>190</v>
      </c>
      <c r="D36" s="4" t="s">
        <v>191</v>
      </c>
      <c r="E36" s="4" t="s">
        <v>192</v>
      </c>
      <c r="F36" s="4" t="s">
        <v>193</v>
      </c>
      <c r="G36" s="4" t="s">
        <v>194</v>
      </c>
      <c r="H36" s="4" t="s">
        <v>195</v>
      </c>
      <c r="I36" s="1"/>
      <c r="J36" s="1"/>
    </row>
    <row r="37" ht="25" customHeight="1" spans="1:10">
      <c r="A37" s="1" t="str">
        <f>$A$6</f>
        <v>Gemini 3.8 Flash</v>
      </c>
      <c r="B37" s="18">
        <f>$B$6</f>
        <v>0.917431192660551</v>
      </c>
      <c r="C37" s="7">
        <f>$C$5</f>
        <v>0.00212461100917431</v>
      </c>
      <c r="D37" s="7">
        <f>$E$6</f>
        <v>0.643233172018348</v>
      </c>
      <c r="E37" s="18">
        <f>1-(D37-C37)/'D6 Assumptions'!$B$6</f>
        <v>0.91564361039353</v>
      </c>
      <c r="F37" s="18">
        <f>$B$5</f>
        <v>1</v>
      </c>
      <c r="G37" s="19">
        <f>(F37-E37)*100</f>
        <v>8.43563896064703</v>
      </c>
      <c r="H37" s="1" t="str">
        <f>IF(F37&gt;=E37,"Yes, in sample","No")</f>
        <v>Yes, in sample</v>
      </c>
      <c r="I37" s="1"/>
      <c r="J37" s="1"/>
    </row>
    <row r="38" ht="25" customHeight="1" spans="1:10">
      <c r="A38" s="1" t="str">
        <f>$A$7</f>
        <v>GPT-5.6 Luna</v>
      </c>
      <c r="B38" s="18">
        <f>$B$7</f>
        <v>0.990825688073395</v>
      </c>
      <c r="C38" s="7">
        <f>$C$5</f>
        <v>0.00212461100917431</v>
      </c>
      <c r="D38" s="7">
        <f>$E$7</f>
        <v>0.0730172422018344</v>
      </c>
      <c r="E38" s="18">
        <f>1-(D38-C38)/'D6 Assumptions'!$B$6</f>
        <v>0.990672022211492</v>
      </c>
      <c r="F38" s="18">
        <f>$B$5</f>
        <v>1</v>
      </c>
      <c r="G38" s="19">
        <f>(F38-E38)*100</f>
        <v>0.932797778850791</v>
      </c>
      <c r="H38" s="1" t="str">
        <f>IF(F38&gt;=E38,"Yes, in sample","No")</f>
        <v>Yes, in sample</v>
      </c>
      <c r="I38" s="1"/>
      <c r="J38" s="1"/>
    </row>
    <row r="39" ht="25" customHeight="1" spans="1:10">
      <c r="A39" s="1" t="str">
        <f>$A$8</f>
        <v>Qwen 3.8 Max</v>
      </c>
      <c r="B39" s="18">
        <f>$B$8</f>
        <v>0.981651376146789</v>
      </c>
      <c r="C39" s="7">
        <f>$C$5</f>
        <v>0.00212461100917431</v>
      </c>
      <c r="D39" s="7">
        <f>$E$8</f>
        <v>0.165868660550459</v>
      </c>
      <c r="E39" s="18">
        <f>1-(D39-C39)/'D6 Assumptions'!$B$6</f>
        <v>0.978454730323515</v>
      </c>
      <c r="F39" s="18">
        <f>$B$5</f>
        <v>1</v>
      </c>
      <c r="G39" s="19">
        <f>(F39-E39)*100</f>
        <v>2.15452696764848</v>
      </c>
      <c r="H39" s="1" t="str">
        <f>IF(F39&gt;=E39,"Yes, in sample","No")</f>
        <v>Yes, in sample</v>
      </c>
      <c r="I39" s="1"/>
      <c r="J39" s="1"/>
    </row>
    <row r="40" ht="25" customHeight="1" spans="1:10">
      <c r="A40" s="1" t="str">
        <f>$A$9</f>
        <v>DeepSeek Flash Latest</v>
      </c>
      <c r="B40" s="18">
        <f>$B$9</f>
        <v>0.944954128440367</v>
      </c>
      <c r="C40" s="7">
        <f>$C$5</f>
        <v>0.00212461100917431</v>
      </c>
      <c r="D40" s="7">
        <f>$E$9</f>
        <v>0.420075644036697</v>
      </c>
      <c r="E40" s="18">
        <f>1-(D40-C40)/'D6 Assumptions'!$B$6</f>
        <v>0.945006443022694</v>
      </c>
      <c r="F40" s="18">
        <f>$B$5</f>
        <v>1</v>
      </c>
      <c r="G40" s="19">
        <f>(F40-E40)*100</f>
        <v>5.49935569773057</v>
      </c>
      <c r="H40" s="1" t="str">
        <f>IF(F40&gt;=E40,"Yes, in sample","No")</f>
        <v>Yes, in sample</v>
      </c>
      <c r="I40" s="1"/>
      <c r="J40" s="1"/>
    </row>
    <row r="41" ht="25" customHeight="1" spans="1:10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38" customHeight="1" spans="1:10">
      <c r="A42" s="3" t="s">
        <v>196</v>
      </c>
      <c r="B42" s="3"/>
      <c r="C42" s="3"/>
      <c r="D42" s="3"/>
      <c r="E42" s="3"/>
      <c r="F42" s="3"/>
      <c r="G42" s="3"/>
      <c r="H42" s="3"/>
      <c r="I42" s="3"/>
      <c r="J42" s="3"/>
    </row>
    <row r="43" ht="25" customHeight="1" spans="1:10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25" customHeight="1" spans="1:10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44" customHeight="1" spans="1:10">
      <c r="A45" s="4" t="s">
        <v>197</v>
      </c>
      <c r="B45" s="4" t="s">
        <v>198</v>
      </c>
      <c r="C45" s="4" t="s">
        <v>199</v>
      </c>
      <c r="D45" s="4" t="s">
        <v>200</v>
      </c>
      <c r="E45" s="4" t="s">
        <v>201</v>
      </c>
      <c r="F45" s="1"/>
      <c r="G45" s="1"/>
      <c r="H45" s="1"/>
      <c r="I45" s="1"/>
      <c r="J45" s="1"/>
    </row>
    <row r="46" ht="25" customHeight="1" spans="1:10">
      <c r="A46" s="1" t="s">
        <v>202</v>
      </c>
      <c r="B46" s="8">
        <f>'D6 Assumptions'!$B$6*'D6 Assumptions'!$B$48</f>
        <v>3.8</v>
      </c>
      <c r="C46" s="8">
        <f>'D6 Assumptions'!$B$6</f>
        <v>7.6</v>
      </c>
      <c r="D46" s="8">
        <f>'D6 Assumptions'!$B$6*'D6 Assumptions'!$B$49</f>
        <v>11.4</v>
      </c>
      <c r="E46" s="1"/>
      <c r="F46" s="1"/>
      <c r="G46" s="1"/>
      <c r="H46" s="1"/>
      <c r="I46" s="1"/>
      <c r="J46" s="1"/>
    </row>
    <row r="47" ht="25" customHeight="1" spans="1:10">
      <c r="A47" s="20">
        <v>0.9</v>
      </c>
      <c r="B47" s="15">
        <f>($C$5+(1-$A47)*B$46)*'D6 Assumptions'!$B$35+'D6 Assumptions'!$B$42</f>
        <v>3481.22847067339</v>
      </c>
      <c r="C47" s="15">
        <f>($C$5+(1-$A47)*C$46)*'D6 Assumptions'!$B$35+'D6 Assumptions'!$B$42</f>
        <v>6521.22847067339</v>
      </c>
      <c r="D47" s="15">
        <f>($C$5+(1-$A47)*D$46)*'D6 Assumptions'!$B$35+'D6 Assumptions'!$B$42</f>
        <v>9561.22847067339</v>
      </c>
      <c r="E47" s="1"/>
      <c r="F47" s="1"/>
      <c r="G47" s="1"/>
      <c r="H47" s="1"/>
      <c r="I47" s="1"/>
      <c r="J47" s="1"/>
    </row>
    <row r="48" ht="25" customHeight="1" spans="1:10">
      <c r="A48" s="20">
        <v>0.95</v>
      </c>
      <c r="B48" s="15">
        <f>($C$5+(1-$A48)*B$46)*'D6 Assumptions'!$B$35+'D6 Assumptions'!$B$42</f>
        <v>1961.2284706734</v>
      </c>
      <c r="C48" s="15">
        <f>($C$5+(1-$A48)*C$46)*'D6 Assumptions'!$B$35+'D6 Assumptions'!$B$42</f>
        <v>3481.2284706734</v>
      </c>
      <c r="D48" s="15">
        <f>($C$5+(1-$A48)*D$46)*'D6 Assumptions'!$B$35+'D6 Assumptions'!$B$42</f>
        <v>5001.2284706734</v>
      </c>
      <c r="E48" s="1"/>
      <c r="F48" s="1"/>
      <c r="G48" s="1"/>
      <c r="H48" s="1"/>
      <c r="I48" s="1"/>
      <c r="J48" s="1"/>
    </row>
    <row r="49" ht="25" customHeight="1" spans="1:10">
      <c r="A49" s="20">
        <v>0.99</v>
      </c>
      <c r="B49" s="15">
        <f>($C$5+(1-$A49)*B$46)*'D6 Assumptions'!$B$35+'D6 Assumptions'!$B$42</f>
        <v>745.228470673395</v>
      </c>
      <c r="C49" s="15">
        <f>($C$5+(1-$A49)*C$46)*'D6 Assumptions'!$B$35+'D6 Assumptions'!$B$42</f>
        <v>1049.22847067339</v>
      </c>
      <c r="D49" s="15">
        <f>($C$5+(1-$A49)*D$46)*'D6 Assumptions'!$B$35+'D6 Assumptions'!$B$42</f>
        <v>1353.2284706734</v>
      </c>
      <c r="E49" s="1"/>
      <c r="F49" s="1"/>
      <c r="G49" s="1"/>
      <c r="H49" s="1"/>
      <c r="I49" s="1"/>
      <c r="J49" s="1"/>
    </row>
    <row r="50" ht="25" customHeight="1" spans="1:10">
      <c r="A50" s="20">
        <v>1</v>
      </c>
      <c r="B50" s="15">
        <f>($C$5+(1-$A50)*B$46)*'D6 Assumptions'!$B$35+'D6 Assumptions'!$B$42</f>
        <v>441.228470673394</v>
      </c>
      <c r="C50" s="15">
        <f>($C$5+(1-$A50)*C$46)*'D6 Assumptions'!$B$35+'D6 Assumptions'!$B$42</f>
        <v>441.228470673394</v>
      </c>
      <c r="D50" s="15">
        <f>($C$5+(1-$A50)*D$46)*'D6 Assumptions'!$B$35+'D6 Assumptions'!$B$42</f>
        <v>441.228470673394</v>
      </c>
      <c r="E50" s="1"/>
      <c r="F50" s="1"/>
      <c r="G50" s="1"/>
      <c r="H50" s="1"/>
      <c r="I50" s="1"/>
      <c r="J50" s="1"/>
    </row>
    <row r="51" ht="25" customHeight="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25" customHeight="1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25" customHeight="1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44" customHeight="1" spans="1:10">
      <c r="A54" s="4" t="s">
        <v>203</v>
      </c>
      <c r="B54" s="4" t="s">
        <v>204</v>
      </c>
      <c r="C54" s="4" t="s">
        <v>205</v>
      </c>
      <c r="D54" s="4" t="s">
        <v>206</v>
      </c>
      <c r="E54" s="1"/>
      <c r="F54" s="1"/>
      <c r="G54" s="1"/>
      <c r="H54" s="1"/>
      <c r="I54" s="1"/>
      <c r="J54" s="1"/>
    </row>
    <row r="55" ht="25" customHeight="1" spans="1:10">
      <c r="A55" s="1" t="s">
        <v>207</v>
      </c>
      <c r="B55" s="1" t="s">
        <v>208</v>
      </c>
      <c r="C55" s="8">
        <f>0.01*'D6 Assumptions'!B6*'D6 Assumptions'!B35</f>
        <v>608</v>
      </c>
      <c r="D55" s="1" t="s">
        <v>209</v>
      </c>
      <c r="E55" s="1"/>
      <c r="F55" s="1"/>
      <c r="G55" s="1"/>
      <c r="H55" s="1"/>
      <c r="I55" s="1"/>
      <c r="J55" s="1"/>
    </row>
    <row r="56" ht="25" customHeight="1" spans="1:10">
      <c r="A56" s="1" t="s">
        <v>210</v>
      </c>
      <c r="B56" s="1" t="s">
        <v>211</v>
      </c>
      <c r="C56" s="8">
        <f>-0.5*F5</f>
        <v>-8.49844403669725</v>
      </c>
      <c r="D56" s="1" t="s">
        <v>212</v>
      </c>
      <c r="E56" s="1"/>
      <c r="F56" s="1"/>
      <c r="G56" s="1"/>
      <c r="H56" s="1"/>
      <c r="I56" s="1"/>
      <c r="J56" s="1"/>
    </row>
    <row r="57" ht="25" customHeight="1" spans="1:10">
      <c r="A57" s="1" t="s">
        <v>213</v>
      </c>
      <c r="B57" s="1" t="s">
        <v>211</v>
      </c>
      <c r="C57" s="8">
        <f>0.5*G8</f>
        <v>557.798165137615</v>
      </c>
      <c r="D57" s="1" t="s">
        <v>214</v>
      </c>
      <c r="E57" s="1"/>
      <c r="F57" s="1"/>
      <c r="G57" s="1"/>
      <c r="H57" s="1"/>
      <c r="I57" s="1"/>
      <c r="J57" s="1"/>
    </row>
    <row r="58" ht="25" customHeight="1" spans="1:10">
      <c r="A58" s="1" t="s">
        <v>215</v>
      </c>
      <c r="B58" s="1" t="s">
        <v>216</v>
      </c>
      <c r="C58" s="8">
        <f>0.1*H5</f>
        <v>1.69968880733945</v>
      </c>
      <c r="D58" s="1" t="s">
        <v>217</v>
      </c>
      <c r="E58" s="1"/>
      <c r="F58" s="1"/>
      <c r="G58" s="1"/>
      <c r="H58" s="1"/>
      <c r="I58" s="1"/>
      <c r="J58" s="1"/>
    </row>
    <row r="59" ht="25" customHeight="1" spans="1:10">
      <c r="A59" s="1" t="s">
        <v>218</v>
      </c>
      <c r="B59" s="1" t="s">
        <v>219</v>
      </c>
      <c r="C59" s="8">
        <v>100</v>
      </c>
      <c r="D59" s="1" t="s">
        <v>209</v>
      </c>
      <c r="E59" s="1"/>
      <c r="F59" s="1"/>
      <c r="G59" s="1"/>
      <c r="H59" s="1"/>
      <c r="I59" s="1"/>
      <c r="J59" s="1"/>
    </row>
    <row r="60" ht="25" customHeight="1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25" customHeight="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25" customHeight="1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44" customHeight="1" spans="1:10">
      <c r="A63" s="4" t="s">
        <v>220</v>
      </c>
      <c r="B63" s="4" t="s">
        <v>221</v>
      </c>
      <c r="C63" s="4" t="s">
        <v>222</v>
      </c>
      <c r="D63" s="1"/>
      <c r="E63" s="1"/>
      <c r="F63" s="1"/>
      <c r="G63" s="1"/>
      <c r="H63" s="1"/>
      <c r="I63" s="1"/>
      <c r="J63" s="1"/>
    </row>
    <row r="64" ht="25" customHeight="1" spans="1:10">
      <c r="A64" s="15">
        <v>0</v>
      </c>
      <c r="B64" s="15">
        <f>$H$5+A64</f>
        <v>16.9968880733945</v>
      </c>
      <c r="C64" s="7">
        <f>B64/'D6 Assumptions'!$B$35</f>
        <v>0.00212461100917431</v>
      </c>
      <c r="D64" s="1"/>
      <c r="E64" s="1"/>
      <c r="F64" s="1"/>
      <c r="G64" s="1"/>
      <c r="H64" s="1"/>
      <c r="I64" s="1"/>
      <c r="J64" s="1"/>
    </row>
    <row r="65" ht="25" customHeight="1" spans="1:10">
      <c r="A65" s="15">
        <f>'D6 Assumptions'!$B$42</f>
        <v>424.2315826</v>
      </c>
      <c r="B65" s="15">
        <f>$H$5+A65</f>
        <v>441.228470673394</v>
      </c>
      <c r="C65" s="7">
        <f>B65/'D6 Assumptions'!$B$35</f>
        <v>0.0551535588341743</v>
      </c>
      <c r="D65" s="1"/>
      <c r="E65" s="1"/>
      <c r="F65" s="1"/>
      <c r="G65" s="1"/>
      <c r="H65" s="1"/>
      <c r="I65" s="1"/>
      <c r="J65" s="1"/>
    </row>
    <row r="66" ht="25" customHeight="1" spans="1:10">
      <c r="A66" s="15">
        <v>1000</v>
      </c>
      <c r="B66" s="15">
        <f>$H$5+A66</f>
        <v>1016.99688807339</v>
      </c>
      <c r="C66" s="7">
        <f>B66/'D6 Assumptions'!$B$35</f>
        <v>0.127124611009174</v>
      </c>
      <c r="D66" s="1"/>
      <c r="E66" s="1"/>
      <c r="F66" s="1"/>
      <c r="G66" s="1"/>
      <c r="H66" s="1"/>
      <c r="I66" s="1"/>
      <c r="J66" s="1"/>
    </row>
    <row r="67" ht="25" customHeight="1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38" customHeight="1" spans="1:10">
      <c r="A68" s="3" t="s">
        <v>223</v>
      </c>
      <c r="B68" s="3"/>
      <c r="C68" s="3"/>
      <c r="D68" s="3"/>
      <c r="E68" s="3"/>
      <c r="F68" s="3"/>
      <c r="G68" s="3"/>
      <c r="H68" s="3"/>
      <c r="I68" s="3"/>
      <c r="J68" s="3"/>
    </row>
    <row r="69" ht="25" customHeight="1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25" customHeight="1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44" customHeight="1" spans="1:10">
      <c r="A71" s="4" t="s">
        <v>224</v>
      </c>
      <c r="B71" s="4" t="s">
        <v>185</v>
      </c>
      <c r="C71" s="1" t="s">
        <v>225</v>
      </c>
      <c r="D71" s="1"/>
      <c r="E71" s="1"/>
      <c r="F71" s="1"/>
      <c r="G71" s="1"/>
      <c r="H71" s="1"/>
      <c r="I71" s="1"/>
      <c r="J71" s="1"/>
    </row>
    <row r="72" ht="25" customHeight="1" spans="1:10">
      <c r="A72" s="20">
        <v>0.9</v>
      </c>
      <c r="B72" s="15">
        <f>($C$5+(1-A72)*'D6 Assumptions'!$B$6)*'D6 Assumptions'!$B$35+'D6 Assumptions'!$B$42</f>
        <v>6521.22847067339</v>
      </c>
      <c r="C72" s="1" t="str">
        <f t="shared" ref="C72:C82" si="1">TEXT(A72,"0%")</f>
        <v>90%</v>
      </c>
      <c r="D72" s="1"/>
      <c r="E72" s="1"/>
      <c r="F72" s="1"/>
      <c r="G72" s="1"/>
      <c r="H72" s="1"/>
      <c r="I72" s="1"/>
      <c r="J72" s="1"/>
    </row>
    <row r="73" ht="25" customHeight="1" spans="1:10">
      <c r="A73" s="20">
        <v>0.91</v>
      </c>
      <c r="B73" s="15">
        <f>($C$5+(1-A73)*'D6 Assumptions'!$B$6)*'D6 Assumptions'!$B$35+'D6 Assumptions'!$B$42</f>
        <v>5913.22847067339</v>
      </c>
      <c r="C73" s="1" t="str">
        <f t="shared" si="1"/>
        <v>91%</v>
      </c>
      <c r="D73" s="1"/>
      <c r="E73" s="1"/>
      <c r="F73" s="1"/>
      <c r="G73" s="1"/>
      <c r="H73" s="1"/>
      <c r="I73" s="1"/>
      <c r="J73" s="1"/>
    </row>
    <row r="74" ht="25" customHeight="1" spans="1:10">
      <c r="A74" s="20">
        <v>0.92</v>
      </c>
      <c r="B74" s="15">
        <f>($C$5+(1-A74)*'D6 Assumptions'!$B$6)*'D6 Assumptions'!$B$35+'D6 Assumptions'!$B$42</f>
        <v>5305.22847067339</v>
      </c>
      <c r="C74" s="1" t="str">
        <f t="shared" si="1"/>
        <v>92%</v>
      </c>
      <c r="D74" s="1"/>
      <c r="E74" s="1"/>
      <c r="F74" s="1"/>
      <c r="G74" s="1"/>
      <c r="H74" s="1"/>
      <c r="I74" s="1"/>
      <c r="J74" s="1"/>
    </row>
    <row r="75" ht="25" customHeight="1" spans="1:10">
      <c r="A75" s="20">
        <v>0.93</v>
      </c>
      <c r="B75" s="15">
        <f>($C$5+(1-A75)*'D6 Assumptions'!$B$6)*'D6 Assumptions'!$B$35+'D6 Assumptions'!$B$42</f>
        <v>4697.22847067339</v>
      </c>
      <c r="C75" s="1" t="str">
        <f t="shared" si="1"/>
        <v>93%</v>
      </c>
      <c r="D75" s="1"/>
      <c r="E75" s="1"/>
      <c r="F75" s="1"/>
      <c r="G75" s="1"/>
      <c r="H75" s="1"/>
      <c r="I75" s="1"/>
      <c r="J75" s="1"/>
    </row>
    <row r="76" ht="25" customHeight="1" spans="1:10">
      <c r="A76" s="20">
        <v>0.94</v>
      </c>
      <c r="B76" s="15">
        <f>($C$5+(1-A76)*'D6 Assumptions'!$B$6)*'D6 Assumptions'!$B$35+'D6 Assumptions'!$B$42</f>
        <v>4089.2284706734</v>
      </c>
      <c r="C76" s="1" t="str">
        <f t="shared" si="1"/>
        <v>94%</v>
      </c>
      <c r="D76" s="1"/>
      <c r="E76" s="1"/>
      <c r="F76" s="1"/>
      <c r="G76" s="1"/>
      <c r="H76" s="1"/>
      <c r="I76" s="1"/>
      <c r="J76" s="1"/>
    </row>
    <row r="77" ht="25" customHeight="1" spans="1:10">
      <c r="A77" s="20">
        <v>0.95</v>
      </c>
      <c r="B77" s="15">
        <f>($C$5+(1-A77)*'D6 Assumptions'!$B$6)*'D6 Assumptions'!$B$35+'D6 Assumptions'!$B$42</f>
        <v>3481.2284706734</v>
      </c>
      <c r="C77" s="1" t="str">
        <f t="shared" si="1"/>
        <v>95%</v>
      </c>
      <c r="D77" s="1"/>
      <c r="E77" s="1"/>
      <c r="F77" s="1"/>
      <c r="G77" s="1"/>
      <c r="H77" s="1"/>
      <c r="I77" s="1"/>
      <c r="J77" s="1"/>
    </row>
    <row r="78" ht="25" customHeight="1" spans="1:10">
      <c r="A78" s="20">
        <v>0.96</v>
      </c>
      <c r="B78" s="15">
        <f>($C$5+(1-A78)*'D6 Assumptions'!$B$6)*'D6 Assumptions'!$B$35+'D6 Assumptions'!$B$42</f>
        <v>2873.2284706734</v>
      </c>
      <c r="C78" s="1" t="str">
        <f t="shared" si="1"/>
        <v>96%</v>
      </c>
      <c r="D78" s="1"/>
      <c r="E78" s="1"/>
      <c r="F78" s="1"/>
      <c r="G78" s="1"/>
      <c r="H78" s="1"/>
      <c r="I78" s="1"/>
      <c r="J78" s="1"/>
    </row>
    <row r="79" ht="25" customHeight="1" spans="1:10">
      <c r="A79" s="20">
        <v>0.97</v>
      </c>
      <c r="B79" s="15">
        <f>($C$5+(1-A79)*'D6 Assumptions'!$B$6)*'D6 Assumptions'!$B$35+'D6 Assumptions'!$B$42</f>
        <v>2265.2284706734</v>
      </c>
      <c r="C79" s="1" t="str">
        <f t="shared" si="1"/>
        <v>97%</v>
      </c>
      <c r="D79" s="1"/>
      <c r="E79" s="1"/>
      <c r="F79" s="1"/>
      <c r="G79" s="1"/>
      <c r="H79" s="1"/>
      <c r="I79" s="1"/>
      <c r="J79" s="1"/>
    </row>
    <row r="80" ht="25" customHeight="1" spans="1:10">
      <c r="A80" s="20">
        <v>0.98</v>
      </c>
      <c r="B80" s="15">
        <f>($C$5+(1-A80)*'D6 Assumptions'!$B$6)*'D6 Assumptions'!$B$35+'D6 Assumptions'!$B$42</f>
        <v>1657.2284706734</v>
      </c>
      <c r="C80" s="1" t="str">
        <f t="shared" si="1"/>
        <v>98%</v>
      </c>
      <c r="D80" s="1"/>
      <c r="E80" s="1"/>
      <c r="F80" s="1"/>
      <c r="G80" s="1"/>
      <c r="H80" s="1"/>
      <c r="I80" s="1"/>
      <c r="J80" s="1"/>
    </row>
    <row r="81" ht="25" customHeight="1" spans="1:10">
      <c r="A81" s="20">
        <v>0.99</v>
      </c>
      <c r="B81" s="15">
        <f>($C$5+(1-A81)*'D6 Assumptions'!$B$6)*'D6 Assumptions'!$B$35+'D6 Assumptions'!$B$42</f>
        <v>1049.22847067339</v>
      </c>
      <c r="C81" s="1" t="str">
        <f t="shared" si="1"/>
        <v>99%</v>
      </c>
      <c r="D81" s="1"/>
      <c r="E81" s="1"/>
      <c r="F81" s="1"/>
      <c r="G81" s="1"/>
      <c r="H81" s="1"/>
      <c r="I81" s="1"/>
      <c r="J81" s="1"/>
    </row>
    <row r="82" ht="25" customHeight="1" spans="1:10">
      <c r="A82" s="20">
        <v>1</v>
      </c>
      <c r="B82" s="15">
        <f>($C$5+(1-A82)*'D6 Assumptions'!$B$6)*'D6 Assumptions'!$B$35+'D6 Assumptions'!$B$42</f>
        <v>441.228470673394</v>
      </c>
      <c r="C82" s="1" t="str">
        <f t="shared" si="1"/>
        <v>100%</v>
      </c>
      <c r="D82" s="1"/>
      <c r="E82" s="1"/>
      <c r="F82" s="1"/>
      <c r="G82" s="1"/>
      <c r="H82" s="1"/>
      <c r="I82" s="1"/>
      <c r="J82" s="1"/>
    </row>
    <row r="83" ht="25" customHeight="1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25" customHeight="1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25" customHeight="1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25" customHeight="1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25" customHeight="1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25" customHeight="1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25" customHeight="1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25" customHeight="1" spans="1:10">
      <c r="A90" s="1"/>
      <c r="B90" s="1"/>
      <c r="C90" s="1"/>
      <c r="D90" s="1"/>
      <c r="E90" s="1"/>
      <c r="F90" s="1"/>
      <c r="G90" s="1"/>
      <c r="H90" s="1"/>
      <c r="I90" s="1"/>
      <c r="J90" s="1"/>
    </row>
  </sheetData>
  <mergeCells count="7">
    <mergeCell ref="A2:J2"/>
    <mergeCell ref="A3:J3"/>
    <mergeCell ref="A11:J11"/>
    <mergeCell ref="A13:J13"/>
    <mergeCell ref="A33:J33"/>
    <mergeCell ref="A42:J42"/>
    <mergeCell ref="A68:J68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0"/>
  <sheetViews>
    <sheetView showGridLines="0" tabSelected="1" workbookViewId="0">
      <selection activeCell="A1" sqref="A1"/>
    </sheetView>
  </sheetViews>
  <sheetFormatPr defaultColWidth="9" defaultRowHeight="13.5"/>
  <cols>
    <col min="1" max="1" width="26" customWidth="1"/>
    <col min="2" max="2" width="20" customWidth="1"/>
    <col min="3" max="6" width="24" customWidth="1"/>
    <col min="7" max="10" width="17" customWidth="1"/>
  </cols>
  <sheetData>
    <row r="1" ht="25" customHeight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38" customHeight="1" spans="1:10">
      <c r="A2" s="2" t="s">
        <v>226</v>
      </c>
      <c r="B2" s="2"/>
      <c r="C2" s="2"/>
      <c r="D2" s="2"/>
      <c r="E2" s="2"/>
      <c r="F2" s="2"/>
      <c r="G2" s="2"/>
      <c r="H2" s="2"/>
      <c r="I2" s="2"/>
      <c r="J2" s="2"/>
    </row>
    <row r="3" ht="38" customHeight="1" spans="1:10">
      <c r="A3" s="3" t="s">
        <v>227</v>
      </c>
      <c r="B3" s="3"/>
      <c r="C3" s="3"/>
      <c r="D3" s="3"/>
      <c r="E3" s="3"/>
      <c r="F3" s="3"/>
      <c r="G3" s="3"/>
      <c r="H3" s="3"/>
      <c r="I3" s="3"/>
      <c r="J3" s="3"/>
    </row>
    <row r="4" ht="44" customHeight="1" spans="1:10">
      <c r="A4" s="4" t="s">
        <v>228</v>
      </c>
      <c r="B4" s="4" t="s">
        <v>229</v>
      </c>
      <c r="C4" s="4" t="s">
        <v>230</v>
      </c>
      <c r="D4" s="4" t="s">
        <v>231</v>
      </c>
      <c r="E4" s="4" t="s">
        <v>204</v>
      </c>
      <c r="F4" s="4" t="s">
        <v>70</v>
      </c>
      <c r="G4" s="1"/>
      <c r="H4" s="1"/>
      <c r="I4" s="1"/>
      <c r="J4" s="1"/>
    </row>
    <row r="5" ht="25" customHeight="1" spans="1:10">
      <c r="A5" s="1" t="s">
        <v>232</v>
      </c>
      <c r="B5" s="1">
        <v>5317</v>
      </c>
      <c r="C5" s="1">
        <v>5813</v>
      </c>
      <c r="D5" s="1" t="s">
        <v>233</v>
      </c>
      <c r="E5" s="5">
        <f>C5/B5-1</f>
        <v>0.0932856874177168</v>
      </c>
      <c r="F5" s="1" t="s">
        <v>234</v>
      </c>
      <c r="G5" s="1"/>
      <c r="H5" s="1"/>
      <c r="I5" s="1"/>
      <c r="J5" s="1"/>
    </row>
    <row r="6" ht="25" customHeight="1" spans="1:10">
      <c r="A6" s="1" t="s">
        <v>235</v>
      </c>
      <c r="B6" s="1">
        <v>9</v>
      </c>
      <c r="C6" s="1">
        <v>4</v>
      </c>
      <c r="D6" s="1" t="s">
        <v>236</v>
      </c>
      <c r="E6" s="5">
        <f>C6/B6-1</f>
        <v>-0.555555555555556</v>
      </c>
      <c r="F6" s="1" t="s">
        <v>237</v>
      </c>
      <c r="G6" s="1"/>
      <c r="H6" s="1"/>
      <c r="I6" s="1"/>
      <c r="J6" s="1"/>
    </row>
    <row r="7" ht="25" customHeight="1" spans="1:10">
      <c r="A7" s="1" t="s">
        <v>238</v>
      </c>
      <c r="B7" s="1">
        <v>2897</v>
      </c>
      <c r="C7" s="1">
        <v>2897</v>
      </c>
      <c r="D7" s="1" t="s">
        <v>233</v>
      </c>
      <c r="E7" s="5">
        <f>C7/B7-1</f>
        <v>0</v>
      </c>
      <c r="F7" s="1" t="s">
        <v>239</v>
      </c>
      <c r="G7" s="1"/>
      <c r="H7" s="1"/>
      <c r="I7" s="1"/>
      <c r="J7" s="1"/>
    </row>
    <row r="8" ht="25" customHeight="1" spans="1:10">
      <c r="A8" s="1" t="s">
        <v>240</v>
      </c>
      <c r="B8" s="6">
        <v>0.181818181818182</v>
      </c>
      <c r="C8" s="6">
        <v>0.757575757575758</v>
      </c>
      <c r="D8" s="1" t="s">
        <v>241</v>
      </c>
      <c r="E8" s="5">
        <f>C8-B8</f>
        <v>0.575757575757576</v>
      </c>
      <c r="F8" s="1" t="s">
        <v>242</v>
      </c>
      <c r="G8" s="1"/>
      <c r="H8" s="1"/>
      <c r="I8" s="1"/>
      <c r="J8" s="1"/>
    </row>
    <row r="9" ht="25" customHeight="1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ht="38" customHeight="1" spans="1:10">
      <c r="A10" s="3" t="s">
        <v>243</v>
      </c>
      <c r="B10" s="3"/>
      <c r="C10" s="3"/>
      <c r="D10" s="3"/>
      <c r="E10" s="3"/>
      <c r="F10" s="3"/>
      <c r="G10" s="3"/>
      <c r="H10" s="3"/>
      <c r="I10" s="3"/>
      <c r="J10" s="3"/>
    </row>
    <row r="11" ht="38" customHeight="1" spans="1:10">
      <c r="A11" s="3" t="s">
        <v>244</v>
      </c>
      <c r="B11" s="3"/>
      <c r="C11" s="3"/>
      <c r="D11" s="3"/>
      <c r="E11" s="3"/>
      <c r="F11" s="3"/>
      <c r="G11" s="3"/>
      <c r="H11" s="3"/>
      <c r="I11" s="3"/>
      <c r="J11" s="3"/>
    </row>
    <row r="12" ht="38" customHeight="1" spans="1:10">
      <c r="A12" s="3" t="s">
        <v>245</v>
      </c>
      <c r="B12" s="3"/>
      <c r="C12" s="3"/>
      <c r="D12" s="3"/>
      <c r="E12" s="3"/>
      <c r="F12" s="3"/>
      <c r="G12" s="3"/>
      <c r="H12" s="3"/>
      <c r="I12" s="3"/>
      <c r="J12" s="3"/>
    </row>
    <row r="13" ht="25" customHeight="1" spans="1:10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44" customHeight="1" spans="1:10">
      <c r="A14" s="4" t="s">
        <v>246</v>
      </c>
      <c r="B14" s="4" t="s">
        <v>247</v>
      </c>
      <c r="C14" s="4" t="s">
        <v>248</v>
      </c>
      <c r="D14" s="4" t="s">
        <v>249</v>
      </c>
      <c r="E14" s="1"/>
      <c r="F14" s="1"/>
      <c r="G14" s="1"/>
      <c r="H14" s="1"/>
      <c r="I14" s="1"/>
      <c r="J14" s="1"/>
    </row>
    <row r="15" ht="33" customHeight="1" spans="1:10">
      <c r="A15" s="1" t="s">
        <v>5</v>
      </c>
      <c r="B15" s="1">
        <v>33</v>
      </c>
      <c r="C15" s="1">
        <v>33</v>
      </c>
      <c r="D15" s="3" t="s">
        <v>250</v>
      </c>
      <c r="E15" s="1"/>
      <c r="F15" s="1"/>
      <c r="G15" s="1"/>
      <c r="H15" s="1"/>
      <c r="I15" s="1"/>
      <c r="J15" s="1"/>
    </row>
    <row r="16" ht="33" customHeight="1" spans="1:10">
      <c r="A16" s="1" t="s">
        <v>6</v>
      </c>
      <c r="B16" s="1">
        <v>6</v>
      </c>
      <c r="C16" s="1">
        <v>25</v>
      </c>
      <c r="D16" s="3" t="s">
        <v>251</v>
      </c>
      <c r="E16" s="1"/>
      <c r="F16" s="1"/>
      <c r="G16" s="1"/>
      <c r="H16" s="1"/>
      <c r="I16" s="1"/>
      <c r="J16" s="1"/>
    </row>
    <row r="17" ht="33" customHeight="1" spans="1:10">
      <c r="A17" s="1" t="s">
        <v>127</v>
      </c>
      <c r="B17" s="1">
        <v>393486</v>
      </c>
      <c r="C17" s="1">
        <v>648859</v>
      </c>
      <c r="D17" s="3" t="s">
        <v>252</v>
      </c>
      <c r="E17" s="1"/>
      <c r="F17" s="1"/>
      <c r="G17" s="1"/>
      <c r="H17" s="1"/>
      <c r="I17" s="1"/>
      <c r="J17" s="1"/>
    </row>
    <row r="18" ht="33" customHeight="1" spans="1:10">
      <c r="A18" s="1" t="s">
        <v>129</v>
      </c>
      <c r="B18" s="1">
        <v>11498</v>
      </c>
      <c r="C18" s="1">
        <v>14172</v>
      </c>
      <c r="D18" s="3" t="s">
        <v>252</v>
      </c>
      <c r="E18" s="1"/>
      <c r="F18" s="1"/>
      <c r="G18" s="1"/>
      <c r="H18" s="1"/>
      <c r="I18" s="1"/>
      <c r="J18" s="1"/>
    </row>
    <row r="19" ht="33" customHeight="1" spans="1:10">
      <c r="A19" s="1" t="s">
        <v>253</v>
      </c>
      <c r="B19" s="7">
        <v>0.043947</v>
      </c>
      <c r="C19" s="7">
        <v>0.070559</v>
      </c>
      <c r="D19" s="3" t="s">
        <v>254</v>
      </c>
      <c r="E19" s="1"/>
      <c r="F19" s="1"/>
      <c r="G19" s="1"/>
      <c r="H19" s="1"/>
      <c r="I19" s="1"/>
      <c r="J19" s="1"/>
    </row>
    <row r="20" ht="33" customHeight="1" spans="1:10">
      <c r="A20" s="1" t="s">
        <v>255</v>
      </c>
      <c r="B20" s="7">
        <f>(B17*'D6 Assumptions'!$B$24+B18*'D6 Assumptions'!$C$24)/1000000</f>
        <v>0.0659217</v>
      </c>
      <c r="C20" s="7">
        <f>(C17*'D6 Assumptions'!$B$24+C18*'D6 Assumptions'!$C$24)/1000000</f>
        <v>0.10583205</v>
      </c>
      <c r="D20" s="3" t="s">
        <v>256</v>
      </c>
      <c r="E20" s="1"/>
      <c r="F20" s="1"/>
      <c r="G20" s="1"/>
      <c r="H20" s="1"/>
      <c r="I20" s="1"/>
      <c r="J20" s="1"/>
    </row>
    <row r="21" ht="33" customHeight="1" spans="1:10">
      <c r="A21" s="1" t="s">
        <v>257</v>
      </c>
      <c r="B21" s="7">
        <f>B20/B15</f>
        <v>0.00199762727272727</v>
      </c>
      <c r="C21" s="7">
        <f>C20/C15</f>
        <v>0.00320703181818182</v>
      </c>
      <c r="D21" s="3" t="s">
        <v>258</v>
      </c>
      <c r="E21" s="1"/>
      <c r="F21" s="1"/>
      <c r="G21" s="1"/>
      <c r="H21" s="1"/>
      <c r="I21" s="1"/>
      <c r="J21" s="1"/>
    </row>
    <row r="22" ht="33" customHeight="1" spans="1:10">
      <c r="A22" s="1" t="s">
        <v>259</v>
      </c>
      <c r="B22" s="6">
        <f>B16/B15</f>
        <v>0.181818181818182</v>
      </c>
      <c r="C22" s="6">
        <f>C16/C15</f>
        <v>0.757575757575758</v>
      </c>
      <c r="D22" s="3" t="s">
        <v>260</v>
      </c>
      <c r="E22" s="1"/>
      <c r="F22" s="1"/>
      <c r="G22" s="1"/>
      <c r="H22" s="1"/>
      <c r="I22" s="1"/>
      <c r="J22" s="1"/>
    </row>
    <row r="23" ht="33" customHeight="1" spans="1:10">
      <c r="A23" s="1" t="s">
        <v>261</v>
      </c>
      <c r="B23" s="8">
        <f>B21+(1-B22)*'D6 Assumptions'!$B$6</f>
        <v>6.22017944545455</v>
      </c>
      <c r="C23" s="8">
        <f>C21+(1-C22)*'D6 Assumptions'!$B$6</f>
        <v>1.84563127424242</v>
      </c>
      <c r="D23" s="3" t="s">
        <v>262</v>
      </c>
      <c r="E23" s="1"/>
      <c r="F23" s="1"/>
      <c r="G23" s="1"/>
      <c r="H23" s="1"/>
      <c r="I23" s="1"/>
      <c r="J23" s="1"/>
    </row>
    <row r="24" ht="33" customHeight="1" spans="1:10">
      <c r="A24" s="1" t="s">
        <v>263</v>
      </c>
      <c r="B24" s="8">
        <f>B23*'D6 Assumptions'!$B$35</f>
        <v>49761.4355636364</v>
      </c>
      <c r="C24" s="8">
        <f>C23*'D6 Assumptions'!$B$35</f>
        <v>14765.0501939394</v>
      </c>
      <c r="D24" s="3" t="s">
        <v>264</v>
      </c>
      <c r="E24" s="1"/>
      <c r="F24" s="1"/>
      <c r="G24" s="1"/>
      <c r="H24" s="1"/>
      <c r="I24" s="1"/>
      <c r="J24" s="1"/>
    </row>
    <row r="25" ht="33" customHeight="1" spans="1:10">
      <c r="A25" s="1" t="s">
        <v>265</v>
      </c>
      <c r="B25" s="1">
        <v>62098</v>
      </c>
      <c r="C25" s="1">
        <v>61296</v>
      </c>
      <c r="D25" s="3" t="s">
        <v>266</v>
      </c>
      <c r="E25" s="1"/>
      <c r="F25" s="1"/>
      <c r="G25" s="1"/>
      <c r="H25" s="1"/>
      <c r="I25" s="1"/>
      <c r="J25" s="1"/>
    </row>
    <row r="26" ht="33" customHeight="1" spans="1:10">
      <c r="A26" s="1" t="s">
        <v>267</v>
      </c>
      <c r="B26" s="1">
        <v>129</v>
      </c>
      <c r="C26" s="1">
        <v>128</v>
      </c>
      <c r="D26" s="3" t="s">
        <v>266</v>
      </c>
      <c r="E26" s="1"/>
      <c r="F26" s="1"/>
      <c r="G26" s="1"/>
      <c r="H26" s="1"/>
      <c r="I26" s="1"/>
      <c r="J26" s="1"/>
    </row>
    <row r="27" ht="33" customHeight="1" spans="1:10">
      <c r="A27" s="1" t="s">
        <v>268</v>
      </c>
      <c r="B27" s="9">
        <f>B25/B26</f>
        <v>481.37984496124</v>
      </c>
      <c r="C27" s="9">
        <f>C25/C26</f>
        <v>478.875</v>
      </c>
      <c r="D27" s="3" t="s">
        <v>269</v>
      </c>
      <c r="E27" s="1"/>
      <c r="F27" s="1"/>
      <c r="G27" s="1"/>
      <c r="H27" s="1"/>
      <c r="I27" s="1"/>
      <c r="J27" s="1"/>
    </row>
    <row r="28" ht="33" customHeight="1" spans="1:10">
      <c r="A28" s="1"/>
      <c r="B28" s="1"/>
      <c r="C28" s="1"/>
      <c r="D28" s="3"/>
      <c r="E28" s="1"/>
      <c r="F28" s="1"/>
      <c r="G28" s="1"/>
      <c r="H28" s="1"/>
      <c r="I28" s="1"/>
      <c r="J28" s="1"/>
    </row>
    <row r="29" ht="33" customHeight="1" spans="1:10">
      <c r="A29" s="1" t="s">
        <v>270</v>
      </c>
      <c r="B29" s="1"/>
      <c r="C29" s="8">
        <f>B24-C24</f>
        <v>34996.385369697</v>
      </c>
      <c r="D29" s="3"/>
      <c r="E29" s="1"/>
      <c r="F29" s="1"/>
      <c r="G29" s="1"/>
      <c r="H29" s="1"/>
      <c r="I29" s="1"/>
      <c r="J29" s="1"/>
    </row>
    <row r="30" ht="25" customHeight="1" spans="1:10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38" customHeight="1" spans="1:10">
      <c r="A31" s="3" t="s">
        <v>271</v>
      </c>
      <c r="B31" s="3"/>
      <c r="C31" s="3"/>
      <c r="D31" s="3"/>
      <c r="E31" s="3"/>
      <c r="F31" s="3"/>
      <c r="G31" s="3"/>
      <c r="H31" s="3"/>
      <c r="I31" s="3"/>
      <c r="J31" s="3"/>
    </row>
    <row r="32" ht="25" customHeight="1" spans="1:10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25" customHeight="1" spans="1:10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24" customHeight="1" spans="1:10">
      <c r="A34" s="4" t="s">
        <v>272</v>
      </c>
      <c r="B34" s="4" t="s">
        <v>273</v>
      </c>
      <c r="C34" s="10" t="s">
        <v>274</v>
      </c>
      <c r="D34" s="11"/>
      <c r="E34" s="11"/>
      <c r="F34" s="11"/>
      <c r="G34" s="1"/>
      <c r="H34" s="1"/>
      <c r="I34" s="1"/>
      <c r="J34" s="1"/>
    </row>
    <row r="35" ht="48" customHeight="1" spans="1:10">
      <c r="A35" s="12" t="s">
        <v>275</v>
      </c>
      <c r="B35" s="12" t="s">
        <v>276</v>
      </c>
      <c r="C35" s="12" t="s">
        <v>277</v>
      </c>
      <c r="D35" s="12"/>
      <c r="E35" s="12"/>
      <c r="F35" s="12"/>
      <c r="G35" s="3"/>
      <c r="H35" s="3"/>
      <c r="I35" s="3"/>
      <c r="J35" s="3"/>
    </row>
    <row r="36" ht="48" customHeight="1" spans="1:10">
      <c r="A36" s="12" t="s">
        <v>278</v>
      </c>
      <c r="B36" s="12" t="s">
        <v>279</v>
      </c>
      <c r="C36" s="12" t="s">
        <v>280</v>
      </c>
      <c r="D36" s="12"/>
      <c r="E36" s="12"/>
      <c r="F36" s="12"/>
      <c r="G36" s="3"/>
      <c r="H36" s="3"/>
      <c r="I36" s="3"/>
      <c r="J36" s="3"/>
    </row>
    <row r="37" ht="48" customHeight="1" spans="1:10">
      <c r="A37" s="12" t="s">
        <v>281</v>
      </c>
      <c r="B37" s="12" t="s">
        <v>282</v>
      </c>
      <c r="C37" s="12" t="s">
        <v>283</v>
      </c>
      <c r="D37" s="12"/>
      <c r="E37" s="12"/>
      <c r="F37" s="12"/>
      <c r="G37" s="3"/>
      <c r="H37" s="3"/>
      <c r="I37" s="3"/>
      <c r="J37" s="3"/>
    </row>
    <row r="38" ht="48" customHeight="1" spans="1:10">
      <c r="A38" s="12" t="s">
        <v>284</v>
      </c>
      <c r="B38" s="12" t="s">
        <v>285</v>
      </c>
      <c r="C38" s="12" t="s">
        <v>286</v>
      </c>
      <c r="D38" s="12"/>
      <c r="E38" s="12"/>
      <c r="F38" s="12"/>
      <c r="G38" s="3"/>
      <c r="H38" s="3"/>
      <c r="I38" s="3"/>
      <c r="J38" s="3"/>
    </row>
    <row r="39" ht="48" customHeight="1" spans="1:10">
      <c r="A39" s="12" t="s">
        <v>287</v>
      </c>
      <c r="B39" s="12" t="s">
        <v>279</v>
      </c>
      <c r="C39" s="12" t="s">
        <v>288</v>
      </c>
      <c r="D39" s="12"/>
      <c r="E39" s="12"/>
      <c r="F39" s="12"/>
      <c r="G39" s="3"/>
      <c r="H39" s="3"/>
      <c r="I39" s="3"/>
      <c r="J39" s="3"/>
    </row>
    <row r="40" ht="48" customHeight="1" spans="1:10">
      <c r="A40" s="12" t="s">
        <v>289</v>
      </c>
      <c r="B40" s="12" t="s">
        <v>290</v>
      </c>
      <c r="C40" s="12" t="s">
        <v>291</v>
      </c>
      <c r="D40" s="12"/>
      <c r="E40" s="12"/>
      <c r="F40" s="12"/>
      <c r="G40" s="3"/>
      <c r="H40" s="3"/>
      <c r="I40" s="3"/>
      <c r="J40" s="3"/>
    </row>
    <row r="41" ht="48" customHeight="1" spans="1:10">
      <c r="A41" s="12" t="s">
        <v>292</v>
      </c>
      <c r="B41" s="12" t="s">
        <v>293</v>
      </c>
      <c r="C41" s="12" t="s">
        <v>294</v>
      </c>
      <c r="D41" s="12"/>
      <c r="E41" s="12"/>
      <c r="F41" s="12"/>
      <c r="G41" s="3"/>
      <c r="H41" s="3"/>
      <c r="I41" s="3"/>
      <c r="J41" s="3"/>
    </row>
    <row r="42" ht="48" customHeight="1" spans="1:10">
      <c r="A42" s="12" t="s">
        <v>295</v>
      </c>
      <c r="B42" s="12" t="s">
        <v>296</v>
      </c>
      <c r="C42" s="12" t="s">
        <v>297</v>
      </c>
      <c r="D42" s="12"/>
      <c r="E42" s="12"/>
      <c r="F42" s="12"/>
      <c r="G42" s="3"/>
      <c r="H42" s="3"/>
      <c r="I42" s="3"/>
      <c r="J42" s="3"/>
    </row>
    <row r="43" ht="48" customHeight="1" spans="1:10">
      <c r="A43" s="12" t="s">
        <v>298</v>
      </c>
      <c r="B43" s="12" t="s">
        <v>299</v>
      </c>
      <c r="C43" s="12" t="s">
        <v>300</v>
      </c>
      <c r="D43" s="12"/>
      <c r="E43" s="12"/>
      <c r="F43" s="12"/>
      <c r="G43" s="3"/>
      <c r="H43" s="3"/>
      <c r="I43" s="3"/>
      <c r="J43" s="3"/>
    </row>
    <row r="44" ht="48" customHeight="1" spans="1:10">
      <c r="A44" s="12" t="s">
        <v>301</v>
      </c>
      <c r="B44" s="12" t="s">
        <v>302</v>
      </c>
      <c r="C44" s="12" t="s">
        <v>303</v>
      </c>
      <c r="D44" s="12"/>
      <c r="E44" s="12"/>
      <c r="F44" s="12"/>
      <c r="G44" s="1"/>
      <c r="H44" s="1"/>
      <c r="I44" s="1"/>
      <c r="J44" s="1"/>
    </row>
    <row r="45" ht="25" customHeight="1" spans="1:10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38" customHeight="1" spans="1:10">
      <c r="A46" s="3" t="s">
        <v>304</v>
      </c>
      <c r="B46" s="3"/>
      <c r="C46" s="3"/>
      <c r="D46" s="3"/>
      <c r="E46" s="3"/>
      <c r="F46" s="3"/>
      <c r="G46" s="3"/>
      <c r="H46" s="3"/>
      <c r="I46" s="3"/>
      <c r="J46" s="3"/>
    </row>
    <row r="47" ht="38" customHeight="1" spans="1:10">
      <c r="A47" s="3" t="s">
        <v>305</v>
      </c>
      <c r="B47" s="3"/>
      <c r="C47" s="3"/>
      <c r="D47" s="3"/>
      <c r="E47" s="3"/>
      <c r="F47" s="3"/>
      <c r="G47" s="3"/>
      <c r="H47" s="3"/>
      <c r="I47" s="3"/>
      <c r="J47" s="3"/>
    </row>
    <row r="48" ht="38" customHeight="1" spans="1:10">
      <c r="A48" s="3" t="s">
        <v>306</v>
      </c>
      <c r="B48" s="3"/>
      <c r="C48" s="3"/>
      <c r="D48" s="3"/>
      <c r="E48" s="3"/>
      <c r="F48" s="3"/>
      <c r="G48" s="3"/>
      <c r="H48" s="3"/>
      <c r="I48" s="3"/>
      <c r="J48" s="3"/>
    </row>
    <row r="49" customHeight="1" spans="1:10">
      <c r="A49" s="1" t="s">
        <v>307</v>
      </c>
      <c r="B49" s="1" t="s">
        <v>308</v>
      </c>
      <c r="C49" s="1" t="s">
        <v>309</v>
      </c>
      <c r="D49" s="1" t="s">
        <v>310</v>
      </c>
      <c r="E49" s="1" t="s">
        <v>311</v>
      </c>
      <c r="F49" s="1" t="s">
        <v>312</v>
      </c>
      <c r="G49" s="1"/>
      <c r="H49" s="1"/>
      <c r="I49" s="1"/>
      <c r="J49" s="1"/>
    </row>
    <row r="50" ht="25" customHeight="1" spans="1:10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25" customHeight="1" spans="1:10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25" customHeight="1" spans="1:10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25" customHeight="1" spans="1:10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25" customHeight="1" spans="1:10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25" customHeight="1" spans="1:10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25" customHeight="1" spans="1:10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25" customHeight="1" spans="1:10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25" customHeight="1" spans="1:10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25" customHeight="1" spans="1:10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25" customHeight="1" spans="1:10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25" customHeight="1" spans="1:10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25" customHeight="1" spans="1:10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25" customHeight="1" spans="1:10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25" customHeight="1" spans="1:10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25" customHeight="1" spans="1:10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25" customHeight="1" spans="1:10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25" customHeight="1" spans="1:10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25" customHeight="1" spans="1:10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25" customHeight="1" spans="1:10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25" customHeight="1" spans="1:10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25" customHeight="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25" customHeight="1" spans="1:10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25" customHeight="1" spans="1:10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25" customHeight="1" spans="1:10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25" customHeight="1" spans="1:10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25" customHeight="1" spans="1:10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25" customHeight="1" spans="1:10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25" customHeight="1" spans="1:10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25" customHeight="1" spans="1:10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25" customHeight="1" spans="1:10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25" customHeight="1" spans="1:10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25" customHeight="1" spans="1:10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25" customHeight="1" spans="1:10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25" customHeight="1" spans="1:10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25" customHeight="1" spans="1:10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25" customHeight="1" spans="1:10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25" customHeight="1" spans="1:10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25" customHeight="1" spans="1:10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25" customHeight="1" spans="1:10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25" customHeight="1" spans="1:10">
      <c r="A90" s="1"/>
      <c r="B90" s="1"/>
      <c r="C90" s="1"/>
      <c r="D90" s="1"/>
      <c r="E90" s="1"/>
      <c r="F90" s="1"/>
      <c r="G90" s="1"/>
      <c r="H90" s="1"/>
      <c r="I90" s="1"/>
      <c r="J90" s="1"/>
    </row>
  </sheetData>
  <mergeCells count="20">
    <mergeCell ref="A2:J2"/>
    <mergeCell ref="A3:J3"/>
    <mergeCell ref="A10:J10"/>
    <mergeCell ref="A11:J11"/>
    <mergeCell ref="A12:J12"/>
    <mergeCell ref="A31:J31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A46:J46"/>
    <mergeCell ref="A47:J47"/>
    <mergeCell ref="A48:J4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D6 Cost Ledger</vt:lpstr>
      <vt:lpstr>D6 Assumptions</vt:lpstr>
      <vt:lpstr>B Analysis Handoff</vt:lpstr>
      <vt:lpstr>D6 Analysis</vt:lpstr>
      <vt:lpstr>D6 Lever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Irene</cp:lastModifiedBy>
  <dcterms:created xsi:type="dcterms:W3CDTF">2026-09-19T14:02:57Z</dcterms:created>
  <dcterms:modified xsi:type="dcterms:W3CDTF">2026-09-19T15:12:48Z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EF28DF4D34AD4C5FAD319CC4A1F6BD24_13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