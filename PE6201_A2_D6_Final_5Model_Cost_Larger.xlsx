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612c3b43d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6 Cost Ledger" sheetId="1" r:id="R29197f4ce5d44569"/>
    <x:sheet xmlns:r="http://schemas.openxmlformats.org/officeDocument/2006/relationships" name="D6 Assumptions" sheetId="2" r:id="Rc4d1446a99c443a1"/>
    <x:sheet xmlns:r="http://schemas.openxmlformats.org/officeDocument/2006/relationships" name="B Analysis Handoff" sheetId="3" r:id="Rd9ef1752cd124d87"/>
  </x:sheets>
</x:workbook>
</file>

<file path=xl/comments1.xml><?xml version="1.0" encoding="utf-8"?>
<x:comments xmlns:x="http://schemas.openxmlformats.org/spreadsheetml/2006/main">
  <x:authors>
    <x:author/>
  </x:authors>
  <x:commentList>
    <x:comment ref="B24" authorId="0">
      <x:text>
        <x:r>
          <x:t>Source: OpenRouter, GPT-4o mini model pricing, checked 19 September 2026. Input US$0.15 and output US$0.60 per 1,000,000 tokens. https://openrouter.ai/openai/gpt-4o-mini</x:t>
        </x:r>
      </x:text>
    </x:comment>
    <x:comment ref="B25" authorId="0">
      <x:text>
        <x:r>
          <x:t>Source: OpenRouter, Gemini 2.5 Flash model pricing, checked 19 September 2026. Input US$0.30 and output US$2.50 per 1,000,000 tokens. https://openrouter.ai/google/gemini-2.5-flash</x:t>
        </x:r>
      </x:text>
    </x:comment>
    <x:comment ref="B26" authorId="0">
      <x:text>
        <x:r>
          <x:t>Source: OpenRouter, Gemini 3.8 Flash model pricing, checked 19 September 2026. Input US$0.75 and output US$3.75 per 1,000,000 tokens. https://openrouter.ai/google/gemini-3.8-flash The page labels this rate as a 50% promotion.</x:t>
        </x:r>
      </x:text>
    </x:comment>
    <x:comment ref="B27" authorId="0">
      <x:text>
        <x:r>
          <x:t>Source: OpenRouter, GPT-5.6 Luna model pricing, checked 19 September 2026. Input US$0.20 and output US$1.20 per 1,000,000 tokens. https://openrouter.ai/openai/gpt-5.6-luna</x:t>
        </x:r>
      </x:text>
    </x:comment>
    <x:comment ref="B28" authorId="0">
      <x:text>
        <x:r>
          <x:t>Source: OpenRouter, Qwen 3.8 Max model pricing, checked 19 September 2026. Input US$2.00 and output US$6.00 per 1,000,000 tokens. https://openrouter.ai/qwen/qwen3.8-max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#,##0"/>
    <x:numFmt numFmtId="202" formatCode="$0.0000;[Red]($0.0000);-"/>
    <x:numFmt numFmtId="203" formatCode="$0.00;[Red]($0.00);-"/>
    <x:numFmt numFmtId="204" formatCode="0"/>
    <x:numFmt numFmtId="205" formatCode="$0.00"/>
    <x:numFmt numFmtId="206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1F4E78"/>
      <x:name val="Carlito"/>
    </x:font>
    <x:font>
      <x:i/>
      <x:sz val="11"/>
      <x:color rgb="FF404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7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1" xfId="0" applyNumberFormat="1" applyFont="1" applyFill="1" applyBorder="1"/>
    <x:xf numFmtId="202" fontId="7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5" fillId="0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/>
    <x:xf numFmtId="205" fontId="5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205" fontId="5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6" fontId="0" fillId="0" borderId="0" xfId="0" applyNumberFormat="1" applyFont="1" applyFill="1" applyBorder="1" applyAlignment="1">
      <x:alignment horizontal="right" wrapText="1"/>
    </x:xf>
    <x:xf numFmtId="206" fontId="0" fillId="0" borderId="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7f853a6d14a03" /><Relationship Type="http://schemas.openxmlformats.org/officeDocument/2006/relationships/theme" Target="/xl/theme/theme1.xml" Id="R0dcfb7a9beda4c38" /><Relationship Type="http://schemas.openxmlformats.org/officeDocument/2006/relationships/sharedStrings" Target="/xl/sharedStrings.xml" Id="Rfbde968473804ab5" /><Relationship Type="http://schemas.openxmlformats.org/officeDocument/2006/relationships/worksheet" Target="/xl/worksheets/sheet1.xml" Id="R29197f4ce5d44569" /><Relationship Type="http://schemas.openxmlformats.org/officeDocument/2006/relationships/worksheet" Target="/xl/worksheets/sheet2.xml" Id="Rc4d1446a99c443a1" /><Relationship Type="http://schemas.openxmlformats.org/officeDocument/2006/relationships/worksheet" Target="/xl/worksheets/sheet3.xml" Id="Rd9ef1752cd124d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5bd61e7d1e44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Five-model D6 Cost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Pass Rate</c:v>
          </c:tx>
          <c:cat>
            <c:strRef>
              <c:f>'B Analysis Handoff'!$A$4:$A$8</c:f>
              <c:strCache>
                <c:ptCount val="0"/>
              </c:strCache>
            </c:strRef>
          </c:cat>
          <c:val>
            <c:numRef>
              <c:f>'B Analysis Handoff'!$B$4:$B$8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Layer 1 / Trial</c:v>
          </c:tx>
          <c:cat>
            <c:strRef>
              <c:f>'B Analysis Handoff'!$A$4:$A$8</c:f>
              <c:strCache>
                <c:ptCount val="0"/>
              </c:strCache>
            </c:strRef>
          </c:cat>
          <c:val>
            <c:numRef>
              <c:f>'B Analysis Handoff'!$C$4:$C$8</c:f>
              <c:numCache>
                <c:formatCode>$0.0000;[Red]($0.0000);-</c:formatCode>
                <c:ptCount val="0"/>
              </c:numCache>
            </c:numRef>
          </c:val>
        </c:ser>
        <c:ser>
          <c:idx val="2"/>
          <c:order val="2"/>
          <c:tx>
            <c:v>Fallback / Trial</c:v>
          </c:tx>
          <c:cat>
            <c:strRef>
              <c:f>'B Analysis Handoff'!$A$4:$A$8</c:f>
              <c:strCache>
                <c:ptCount val="0"/>
              </c:strCache>
            </c:strRef>
          </c:cat>
          <c:val>
            <c:numRef>
              <c:f>'B Analysis Handoff'!$D$4:$D$8</c:f>
              <c:numCache>
                <c:formatCode>$0.0000;[Red]($0.0000);-</c:formatCode>
                <c:ptCount val="0"/>
              </c:numCache>
            </c:numRef>
          </c:val>
        </c:ser>
        <c:ser>
          <c:idx val="3"/>
          <c:order val="3"/>
          <c:tx>
            <c:v>Layer 2 / Trial</c:v>
          </c:tx>
          <c:cat>
            <c:strRef>
              <c:f>'B Analysis Handoff'!$A$4:$A$8</c:f>
              <c:strCache>
                <c:ptCount val="0"/>
              </c:strCache>
            </c:strRef>
          </c:cat>
          <c:val>
            <c:numRef>
              <c:f>'B Analysis Handoff'!$E$4:$E$8</c:f>
              <c:numCache>
                <c:formatCode>$0.0000;[Red]($0.0000);-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bd61e7d1e44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2e3d057b0154987" /><Relationship Type="http://schemas.openxmlformats.org/officeDocument/2006/relationships/vmlDrawing" Target="/xl/drawings/vmldrawing.vml" Id="R474183d406134a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9e5b6ef7094eb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60" t="str">
        <x:v>PE6201 A2 — D6 Final Cost Data &amp; Ledger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</x:row>
    <x:row r="2">
      <x:c r="A2" s="10" t="str">
        <x:v>Five-model battery from WSM's 19 Sep 2026 memo. Layer 1 uses measured tokens and sourced prices; expected cost adds human fallback.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 ht="36" customHeight="1">
      <x:c r="A4" s="18" t="str">
        <x:v>Model</x:v>
      </x:c>
      <x:c r="B4" s="18" t="str">
        <x:v>Model ID</x:v>
      </x:c>
      <x:c r="C4" s="18" t="str">
        <x:v>Cases</x:v>
      </x:c>
      <x:c r="D4" s="18" t="str">
        <x:v>Trials</x:v>
      </x:c>
      <x:c r="E4" s="18" t="str">
        <x:v>Passed</x:v>
      </x:c>
      <x:c r="F4" s="18" t="str">
        <x:v>Code-check
Pass Rate</x:v>
      </x:c>
      <x:c r="G4" s="18" t="str">
        <x:v>Approve Passed</x:v>
      </x:c>
      <x:c r="H4" s="18" t="str">
        <x:v>Negative Passed</x:v>
      </x:c>
      <x:c r="I4" s="18" t="str">
        <x:v>Median Turns</x:v>
      </x:c>
      <x:c r="J4" s="18" t="str">
        <x:v>Worst Turns</x:v>
      </x:c>
      <x:c r="K4" s="18" t="str">
        <x:v>Input Tokens</x:v>
      </x:c>
      <x:c r="L4" s="18" t="str">
        <x:v>Output Tokens</x:v>
      </x:c>
      <x:c r="M4" s="18" t="str">
        <x:v>Total Tokens</x:v>
      </x:c>
      <x:c r="N4" s="18" t="str">
        <x:v>Layer 1 Total Model Cost (US$)</x:v>
      </x:c>
      <x:c r="O4" s="18" t="str">
        <x:v>Layer 1 Cost / Trial (US$)</x:v>
      </x:c>
      <x:c r="P4" s="18" t="str">
        <x:v>Expected Fallback / Trial (US$)</x:v>
      </x:c>
      <x:c r="Q4" s="18" t="str">
        <x:v>Expected Cost / Trial
(Layer 1 + Layer 2, US$)</x:v>
      </x:c>
      <x:c r="R4" s="18" t="str">
        <x:v>Expected Saving vs Manual (US$)</x:v>
      </x:c>
    </x:row>
    <x:row r="5">
      <x:c r="A5" s="62" t="str">
        <x:v>GPT-4o mini</x:v>
      </x:c>
      <x:c r="B5" s="62" t="str">
        <x:v>openai/gpt-4o-mini</x:v>
      </x:c>
      <x:c r="C5" s="63" t="n">
        <x:v>63</x:v>
      </x:c>
      <x:c r="D5" s="63" t="n">
        <x:v>109</x:v>
      </x:c>
      <x:c r="E5" s="63" t="n">
        <x:v>109</x:v>
      </x:c>
      <x:c r="F5" s="64" t="n">
        <x:f>E5/D5</x:f>
        <x:v>1</x:v>
      </x:c>
      <x:c r="G5" s="62" t="str">
        <x:v>40/40</x:v>
      </x:c>
      <x:c r="H5" s="62" t="str">
        <x:v>69/69</x:v>
      </x:c>
      <x:c r="I5" s="63" t="n">
        <x:v>4</x:v>
      </x:c>
      <x:c r="J5" s="63" t="n">
        <x:v>5</x:v>
      </x:c>
      <x:c r="K5" s="63" t="n">
        <x:v>1369108</x:v>
      </x:c>
      <x:c r="L5" s="63" t="n">
        <x:v>43694</x:v>
      </x:c>
      <x:c r="M5" s="63" t="n">
        <x:f>K5+L5</x:f>
        <x:v>1412802</x:v>
      </x:c>
      <x:c r="N5" s="65" t="n">
        <x:f>(K5*'D6 Assumptions'!B24+L5*'D6 Assumptions'!C24)/1000000</x:f>
        <x:v>0.23158259999999997</x:v>
      </x:c>
      <x:c r="O5" s="66" t="n">
        <x:f>N5/D5</x:f>
        <x:v>0.0021246110091743117</x:v>
      </x:c>
      <x:c r="P5" s="67" t="n">
        <x:f>(1-F5)*'D6 Assumptions'!$B$6</x:f>
        <x:v>0</x:v>
      </x:c>
      <x:c r="Q5" s="67" t="n">
        <x:f>O5+P5</x:f>
        <x:v>0.0021246110091743117</x:v>
      </x:c>
      <x:c r="R5" s="67" t="n">
        <x:f>'D6 Assumptions'!$B$6-Q5</x:f>
        <x:v>7.5978753889908255</x:v>
      </x:c>
    </x:row>
    <x:row r="6">
      <x:c r="A6" s="62" t="str">
        <x:v>Gemini 2.5 Flash</x:v>
      </x:c>
      <x:c r="B6" s="62" t="str">
        <x:v>google/gemini-2.5-flash</x:v>
      </x:c>
      <x:c r="C6" s="63" t="n">
        <x:v>63</x:v>
      </x:c>
      <x:c r="D6" s="63" t="n">
        <x:v>109</x:v>
      </x:c>
      <x:c r="E6" s="63" t="n">
        <x:v>106</x:v>
      </x:c>
      <x:c r="F6" s="64" t="n">
        <x:f>E6/D6</x:f>
        <x:v>0.9724770642201835</x:v>
      </x:c>
      <x:c r="G6" s="62" t="str">
        <x:v>37/40</x:v>
      </x:c>
      <x:c r="H6" s="62" t="str">
        <x:v>69/69</x:v>
      </x:c>
      <x:c r="I6" s="63" t="n">
        <x:v>2</x:v>
      </x:c>
      <x:c r="J6" s="63" t="n">
        <x:v>4</x:v>
      </x:c>
      <x:c r="K6" s="63" t="n">
        <x:v>1081822</x:v>
      </x:c>
      <x:c r="L6" s="63" t="n">
        <x:v>57252</x:v>
      </x:c>
      <x:c r="M6" s="63" t="n">
        <x:f>K6+L6</x:f>
        <x:v>1139074</x:v>
      </x:c>
      <x:c r="N6" s="65" t="n">
        <x:f>(K6*'D6 Assumptions'!B25+L6*'D6 Assumptions'!C25)/1000000</x:f>
        <x:v>0.4676766</x:v>
      </x:c>
      <x:c r="O6" s="66" t="n">
        <x:f>N6/D6</x:f>
        <x:v>0.004290611009174312</x:v>
      </x:c>
      <x:c r="P6" s="67" t="n">
        <x:f>(1-F6)*'D6 Assumptions'!$B$6</x:f>
        <x:v>0.20917431192660507</x:v>
      </x:c>
      <x:c r="Q6" s="67" t="n">
        <x:f>O6+P6</x:f>
        <x:v>0.21346492293577937</x:v>
      </x:c>
      <x:c r="R6" s="67" t="n">
        <x:f>'D6 Assumptions'!$B$6-Q6</x:f>
        <x:v>7.38653507706422</x:v>
      </x:c>
    </x:row>
    <x:row r="7">
      <x:c r="A7" s="62" t="str">
        <x:v>Gemini 3.8 Flash</x:v>
      </x:c>
      <x:c r="B7" s="62" t="str">
        <x:v>google/gemini-3.8-flash</x:v>
      </x:c>
      <x:c r="C7" s="63" t="n">
        <x:v>63</x:v>
      </x:c>
      <x:c r="D7" s="63" t="n">
        <x:v>109</x:v>
      </x:c>
      <x:c r="E7" s="63" t="n">
        <x:v>100</x:v>
      </x:c>
      <x:c r="F7" s="64" t="n">
        <x:f>E7/D7</x:f>
        <x:v>0.9174311926605505</x:v>
      </x:c>
      <x:c r="G7" s="62" t="str">
        <x:v>36/40</x:v>
      </x:c>
      <x:c r="H7" s="62" t="str">
        <x:v>64/69</x:v>
      </x:c>
      <x:c r="I7" s="63" t="n">
        <x:v>2</x:v>
      </x:c>
      <x:c r="J7" s="63" t="n">
        <x:v>5</x:v>
      </x:c>
      <x:c r="K7" s="63" t="n">
        <x:v>1221456</x:v>
      </x:c>
      <x:c r="L7" s="63" t="n">
        <x:v>212353</x:v>
      </x:c>
      <x:c r="M7" s="63" t="n">
        <x:f>K7+L7</x:f>
        <x:v>1433809</x:v>
      </x:c>
      <x:c r="N7" s="65" t="n">
        <x:f>(K7*'D6 Assumptions'!B26+L7*'D6 Assumptions'!C26)/1000000</x:f>
        <x:v>1.71241575</x:v>
      </x:c>
      <x:c r="O7" s="66" t="n">
        <x:f>N7/D7</x:f>
        <x:v>0.01571023623853211</x:v>
      </x:c>
      <x:c r="P7" s="67" t="n">
        <x:f>(1-F7)*'D6 Assumptions'!$B$6</x:f>
        <x:v>0.6275229357798161</x:v>
      </x:c>
      <x:c r="Q7" s="67" t="n">
        <x:f>O7+P7</x:f>
        <x:v>0.6432331720183482</x:v>
      </x:c>
      <x:c r="R7" s="67" t="n">
        <x:f>'D6 Assumptions'!$B$6-Q7</x:f>
        <x:v>6.956766827981651</x:v>
      </x:c>
    </x:row>
    <x:row r="8">
      <x:c r="A8" s="62" t="str">
        <x:v>GPT-5.6 Luna</x:v>
      </x:c>
      <x:c r="B8" s="62" t="str">
        <x:v>openai/gpt-5.6-luna</x:v>
      </x:c>
      <x:c r="C8" s="63" t="n">
        <x:v>63</x:v>
      </x:c>
      <x:c r="D8" s="63" t="n">
        <x:v>109</x:v>
      </x:c>
      <x:c r="E8" s="63" t="n">
        <x:v>108</x:v>
      </x:c>
      <x:c r="F8" s="64" t="n">
        <x:f>E8/D8</x:f>
        <x:v>0.9908256880733946</x:v>
      </x:c>
      <x:c r="G8" s="62" t="str">
        <x:v>40/40</x:v>
      </x:c>
      <x:c r="H8" s="62" t="str">
        <x:v>68/69</x:v>
      </x:c>
      <x:c r="I8" s="63" t="n">
        <x:v>2</x:v>
      </x:c>
      <x:c r="J8" s="63" t="n">
        <x:v>5</x:v>
      </x:c>
      <x:c r="K8" s="63" t="n">
        <x:v>1301197</x:v>
      </x:c>
      <x:c r="L8" s="63" t="n">
        <x:v>82200</x:v>
      </x:c>
      <x:c r="M8" s="63" t="n">
        <x:f>K8+L8</x:f>
        <x:v>1383397</x:v>
      </x:c>
      <x:c r="N8" s="65" t="n">
        <x:f>(K8*'D6 Assumptions'!B27+L8*'D6 Assumptions'!C27)/1000000</x:f>
        <x:v>0.3588794</x:v>
      </x:c>
      <x:c r="O8" s="66" t="n">
        <x:f>N8/D8</x:f>
        <x:v>0.003292471559633028</x:v>
      </x:c>
      <x:c r="P8" s="67" t="n">
        <x:f>(1-F8)*'D6 Assumptions'!$B$6</x:f>
        <x:v>0.06972477064220141</x:v>
      </x:c>
      <x:c r="Q8" s="67" t="n">
        <x:f>O8+P8</x:f>
        <x:v>0.07301724220183443</x:v>
      </x:c>
      <x:c r="R8" s="67" t="n">
        <x:f>'D6 Assumptions'!$B$6-Q8</x:f>
        <x:v>7.526982757798165</x:v>
      </x:c>
    </x:row>
    <x:row r="9">
      <x:c r="A9" s="62" t="str">
        <x:v>Qwen 3.8 Max</x:v>
      </x:c>
      <x:c r="B9" s="62" t="str">
        <x:v>qwen/qwen3.8-max</x:v>
      </x:c>
      <x:c r="C9" s="63" t="n">
        <x:v>63</x:v>
      </x:c>
      <x:c r="D9" s="63" t="n">
        <x:v>109</x:v>
      </x:c>
      <x:c r="E9" s="63" t="n">
        <x:v>107</x:v>
      </x:c>
      <x:c r="F9" s="64" t="n">
        <x:f>E9/D9</x:f>
        <x:v>0.981651376146789</x:v>
      </x:c>
      <x:c r="G9" s="62" t="str">
        <x:v>40/40</x:v>
      </x:c>
      <x:c r="H9" s="62" t="str">
        <x:v>67/69</x:v>
      </x:c>
      <x:c r="I9" s="63" t="n">
        <x:v>3</x:v>
      </x:c>
      <x:c r="J9" s="63" t="n">
        <x:v>4</x:v>
      </x:c>
      <x:c r="K9" s="63" t="n">
        <x:v>1047715</x:v>
      </x:c>
      <x:c r="L9" s="63" t="n">
        <x:v>130709</x:v>
      </x:c>
      <x:c r="M9" s="63" t="n">
        <x:f>K9+L9</x:f>
        <x:v>1178424</x:v>
      </x:c>
      <x:c r="N9" s="65" t="n">
        <x:f>(K9*'D6 Assumptions'!B28+L9*'D6 Assumptions'!C28)/1000000</x:f>
        <x:v>2.879684</x:v>
      </x:c>
      <x:c r="O9" s="66" t="n">
        <x:f>N9/D9</x:f>
        <x:v>0.026419119266055047</x:v>
      </x:c>
      <x:c r="P9" s="67" t="n">
        <x:f>(1-F9)*'D6 Assumptions'!$B$6</x:f>
        <x:v>0.13944954128440368</x:v>
      </x:c>
      <x:c r="Q9" s="67" t="n">
        <x:f>O9+P9</x:f>
        <x:v>0.16586866055045874</x:v>
      </x:c>
      <x:c r="R9" s="67" t="n">
        <x:f>'D6 Assumptions'!$B$6-Q9</x:f>
        <x:v>7.434131339449541</x:v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</x:row>
  </x:sheetData>
  <x:mergeCells>
    <x:mergeCell ref="A1:R1"/>
    <x:mergeCell ref="A2:R2"/>
  </x:mergeCells>
  <x:conditionalFormatting sqref="F5:F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5:Q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{753CE966-194B-C0F3-437D-7A3C7A734A5F}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3CE966-194B-C0F3-437D-7A3C7A734A5F}">
            <x14:dataBar gradient="1">
              <x14:cfvo type="min"/>
              <x14:cfvo type="max"/>
              <x14:fillColor rgb="FFA02B93"/>
            </x14:dataBar>
          </x14:cfRule>
          <xm:sqref>Q5:Q9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8" hidden="0" customWidth="1"/>
    <x:col min="4" max="4" width="18" hidden="0" customWidth="1"/>
  </x:cols>
  <x:sheetData>
    <x:row r="1">
      <x:c r="A1" s="60" t="str">
        <x:v>D6 Assumptions &amp; Cost Formula</x:v>
      </x:c>
      <x:c r="B1" s="60"/>
      <x:c r="C1" s="60"/>
      <x:c r="D1" s="60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</x:row>
    <x:row r="3">
      <x:c r="A3" s="18" t="str">
        <x:v>Input / Assumption</x:v>
      </x:c>
      <x:c r="B3" s="18" t="str">
        <x:v>Value</x:v>
      </x:c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61" t="str">
        <x:v>Manual processing rate (US$/hour)</x:v>
      </x:c>
      <x:c r="B4" s="76" t="n">
        <x:v>38</x:v>
      </x:c>
      <x:c r="C4" s="61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  <x:c r="P4" s="61"/>
      <x:c r="Q4" s="61"/>
      <x:c r="R4" s="61"/>
    </x:row>
    <x:row r="5">
      <x:c r="A5" s="61" t="str">
        <x:v>Manual review time per failed claim (minutes)</x:v>
      </x:c>
      <x:c r="B5" s="77" t="n">
        <x:v>12</x:v>
      </x:c>
      <x:c r="C5" s="61"/>
      <x:c r="D5" s="61"/>
      <x:c r="E5" s="61"/>
      <x:c r="F5" s="61"/>
      <x:c r="G5" s="61"/>
      <x:c r="H5" s="61"/>
      <x:c r="I5" s="61"/>
      <x:c r="J5" s="61"/>
      <x:c r="K5" s="61"/>
      <x:c r="L5" s="61"/>
      <x:c r="M5" s="61"/>
      <x:c r="N5" s="61"/>
      <x:c r="O5" s="61"/>
      <x:c r="P5" s="61"/>
      <x:c r="Q5" s="61"/>
      <x:c r="R5" s="61"/>
    </x:row>
    <x:row r="6">
      <x:c r="A6" s="61" t="str">
        <x:v>Failure / human fallback cost (US$)</x:v>
      </x:c>
      <x:c r="B6" s="78" t="n">
        <x:f>B4*B5/60</x:f>
        <x:v>7.6</x:v>
      </x:c>
      <x:c r="C6" s="61"/>
      <x:c r="D6" s="61"/>
      <x:c r="E6" s="61"/>
      <x:c r="F6" s="61"/>
      <x:c r="G6" s="61"/>
      <x:c r="H6" s="61"/>
      <x:c r="I6" s="61"/>
      <x:c r="J6" s="61"/>
      <x:c r="K6" s="61"/>
      <x:c r="L6" s="61"/>
      <x:c r="M6" s="61"/>
      <x:c r="N6" s="61"/>
      <x:c r="O6" s="61"/>
      <x:c r="P6" s="61"/>
      <x:c r="Q6" s="61"/>
      <x:c r="R6" s="61"/>
    </x:row>
    <x:row r="7">
      <x:c r="A7" s="61" t="str">
        <x:v>Evaluation cases</x:v>
      </x:c>
      <x:c r="B7" s="63" t="n">
        <x:v>63</x:v>
      </x:c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1"/>
      <x:c r="Q7" s="61"/>
      <x:c r="R7" s="61"/>
    </x:row>
    <x:row r="8">
      <x:c r="A8" s="61" t="str">
        <x:v>Trials per model</x:v>
      </x:c>
      <x:c r="B8" s="63" t="n">
        <x:v>109</x:v>
      </x:c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1"/>
      <x:c r="Q8" s="61"/>
      <x:c r="R8" s="61"/>
    </x:row>
    <x:row r="9">
      <x:c r="A9" s="61" t="str">
        <x:v>Approve trials</x:v>
      </x:c>
      <x:c r="B9" s="63" t="n">
        <x:v>40</x:v>
      </x:c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  <x:c r="R9" s="61"/>
    </x:row>
    <x:row r="10">
      <x:c r="A10" s="61" t="str">
        <x:v>Negative trials</x:v>
      </x:c>
      <x:c r="B10" s="63" t="n">
        <x:v>69</x:v>
      </x:c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</x:row>
    <x:row r="12">
      <x:c r="A12" s="18" t="str">
        <x:v>Cost formula</x:v>
      </x:c>
      <x:c r="B12" s="18" t="str">
        <x:v>Definition</x:v>
      </x:c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</x:row>
    <x:row r="13">
      <x:c r="A13" s="61" t="str">
        <x:v>Layer 1 cost / trial</x:v>
      </x:c>
      <x:c r="B13" s="61" t="str">
        <x:v>Total repriced model cost ÷ trials</x:v>
      </x:c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</x:row>
    <x:row r="14">
      <x:c r="A14" s="61" t="str">
        <x:v>Expected fallback / trial</x:v>
      </x:c>
      <x:c r="B14" s="61" t="str">
        <x:v>(1 − code-check pass rate) × US$7.60</x:v>
      </x:c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</x:row>
    <x:row r="15">
      <x:c r="A15" s="61" t="str">
        <x:v>Expected cost / trial (Layer 1 + Layer 2)</x:v>
      </x:c>
      <x:c r="B15" s="61" t="str">
        <x:v>Layer 1 cost / trial + expected fallback / trial</x:v>
      </x:c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</x:row>
    <x:row r="17" ht="20" customHeight="1">
      <x:c r="A17" s="90" t="str">
        <x:v>Data source: WSM's 19 Sep 2026 memo (measured tokens, code-check outcomes and turns). Layer 1 is recalculated from the prices below; raw JSON cost_usd uses uniform rates and is excluded. Costs are uncached token-price estimates, not reconciled billing charges. Code-check pass rates do not replace judgement checks.</x:v>
      </x:c>
      <x:c r="B17" s="90"/>
      <x:c r="C17" s="90"/>
      <x:c r="D17" s="90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</x:row>
    <x:row r="18" ht="20" customHeight="1">
      <x:c r="A18" s="90"/>
      <x:c r="B18" s="90"/>
      <x:c r="C18" s="90"/>
      <x:c r="D18" s="90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</x:row>
    <x:row r="19" ht="20" customHeight="1">
      <x:c r="A19" s="90"/>
      <x:c r="B19" s="90"/>
      <x:c r="C19" s="90"/>
      <x:c r="D19" s="90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</x:row>
    <x:row r="22">
      <x:c r="A22" s="93" t="str">
        <x:v>Model token prices (US$ per 1M tokens)</x:v>
      </x:c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</x:row>
    <x:row r="23" ht="26" customHeight="1">
      <x:c r="A23" s="97" t="str">
        <x:v>Model</x:v>
      </x:c>
      <x:c r="B23" s="97" t="str">
        <x:v>Input US$ / 1M</x:v>
      </x:c>
      <x:c r="C23" s="97" t="str">
        <x:v>Output US$ / 1M</x:v>
      </x:c>
      <x:c r="D23" s="97" t="str">
        <x:v>Price date</x:v>
      </x:c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</x:row>
    <x:row r="24" ht="22" customHeight="1">
      <x:c r="A24" s="61" t="str">
        <x:v>GPT-4o mini</x:v>
      </x:c>
      <x:c r="B24" s="102" t="n">
        <x:v>0.15</x:v>
      </x:c>
      <x:c r="C24" s="102" t="n">
        <x:v>0.6</x:v>
      </x:c>
      <x:c r="D24" s="106" t="n">
        <x:v>46284</x:v>
      </x:c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</x:row>
    <x:row r="25" ht="22" customHeight="1">
      <x:c r="A25" s="61" t="str">
        <x:v>Gemini 2.5 Flash</x:v>
      </x:c>
      <x:c r="B25" s="102" t="n">
        <x:v>0.3</x:v>
      </x:c>
      <x:c r="C25" s="102" t="n">
        <x:v>2.5</x:v>
      </x:c>
      <x:c r="D25" s="106" t="n">
        <x:v>46284</x:v>
      </x:c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</x:row>
    <x:row r="26" ht="22" customHeight="1">
      <x:c r="A26" t="str">
        <x:v>Gemini 3.8 Flash</x:v>
      </x:c>
      <x:c r="B26" s="104" t="n">
        <x:v>0.75</x:v>
      </x:c>
      <x:c r="C26" s="104" t="n">
        <x:v>3.75</x:v>
      </x:c>
      <x:c r="D26" s="107" t="n">
        <x:v>46284</x:v>
      </x:c>
    </x:row>
    <x:row r="27" ht="22" customHeight="1">
      <x:c r="A27" t="str">
        <x:v>GPT-5.6 Luna</x:v>
      </x:c>
      <x:c r="B27" s="104" t="n">
        <x:v>0.2</x:v>
      </x:c>
      <x:c r="C27" s="104" t="n">
        <x:v>1.2</x:v>
      </x:c>
      <x:c r="D27" s="107" t="n">
        <x:v>46284</x:v>
      </x:c>
    </x:row>
    <x:row r="28" ht="22" customHeight="1">
      <x:c r="A28" t="str">
        <x:v>Qwen 3.8 Max</x:v>
      </x:c>
      <x:c r="B28" s="104" t="n">
        <x:v>2</x:v>
      </x:c>
      <x:c r="C28" s="104" t="n">
        <x:v>6</x:v>
      </x:c>
      <x:c r="D28" s="107" t="n">
        <x:v>46284</x:v>
      </x:c>
    </x:row>
    <x:row r="30" ht="20" customHeight="1">
      <x:c r="A30" s="111" t="str">
        <x:v>Source: OpenRouter model pricing pages, checked 19 Sep 2026; URLs are in the input-price cell notes. Gemini 3.8 Flash uses the displayed promotional rate. GPT-4o mini uses $0.15 input / $0.60 output per 1M tokens, correcting the memo. No prompt-caching discount is assumed.</x:v>
      </x:c>
      <x:c r="B30" s="111"/>
      <x:c r="C30" s="111"/>
      <x:c r="D30" s="111"/>
    </x:row>
    <x:row r="31" ht="20" customHeight="1">
      <x:c r="A31" s="111"/>
      <x:c r="B31" s="111"/>
      <x:c r="C31" s="111"/>
      <x:c r="D31" s="111"/>
    </x:row>
    <x:row r="32" ht="20" customHeight="1">
      <x:c r="A32" s="111"/>
      <x:c r="B32" s="111"/>
      <x:c r="C32" s="111"/>
      <x:c r="D32" s="111"/>
    </x:row>
  </x:sheetData>
  <x:mergeCells>
    <x:mergeCell ref="A1:D1"/>
    <x:mergeCell ref="A17:D19"/>
    <x:mergeCell ref="A30:D32"/>
  </x:mergeCells>
  <x:pageMargins left="0.7" right="0.7" top="0.75" bottom="0.75" header="0.3" footer="0.3"/>
  <x:legacyDrawing xmlns:r="http://schemas.openxmlformats.org/officeDocument/2006/relationships" r:id="R474183d406134ab2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5" hidden="0" customWidth="1"/>
  </x:cols>
  <x:sheetData>
    <x:row r="1">
      <x:c r="A1" s="60" t="str">
        <x:v>Ready for Part B — Cost Analysis, Sensitivity &amp; Break-even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1"/>
      <x:c r="L1" s="61"/>
      <x:c r="M1" s="61"/>
      <x:c r="N1" s="61"/>
      <x:c r="O1" s="61"/>
      <x:c r="P1" s="61"/>
      <x:c r="Q1" s="61"/>
      <x:c r="R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</x:row>
    <x:row r="3" ht="36" customHeight="1">
      <x:c r="A3" s="18" t="str">
        <x:v>Model</x:v>
      </x:c>
      <x:c r="B3" s="18" t="str">
        <x:v>Code-check
Pass Rate</x:v>
      </x:c>
      <x:c r="C3" s="18" t="str">
        <x:v>Layer 1 / Trial</x:v>
      </x:c>
      <x:c r="D3" s="18" t="str">
        <x:v>Fallback / Trial</x:v>
      </x:c>
      <x:c r="E3" s="18" t="str">
        <x:v>Expected Cost / Trial
(Layer 1 + Layer 2)</x:v>
      </x:c>
      <x:c r="F3" s="18" t="str">
        <x:v>Saving vs Manual</x:v>
      </x:c>
      <x:c r="G3" s="18" t="str">
        <x:v>Expected Cost
as % Manual</x:v>
      </x:c>
      <x:c r="H3" s="18" t="str">
        <x:v>Failures / 109</x:v>
      </x:c>
      <x:c r="I3" s="18" t="str">
        <x:v>Median Turns</x:v>
      </x:c>
      <x:c r="J3" s="18" t="str">
        <x:v>Notes for Analysis</x:v>
      </x:c>
      <x:c r="K3" s="61"/>
      <x:c r="L3" s="61"/>
      <x:c r="M3" s="61"/>
      <x:c r="N3" s="61"/>
      <x:c r="O3" s="61"/>
      <x:c r="P3" s="61"/>
      <x:c r="Q3" s="61"/>
      <x:c r="R3" s="61"/>
    </x:row>
    <x:row r="4">
      <x:c r="A4" s="82" t="str">
        <x:f>'D6 Cost Ledger'!A5</x:f>
        <x:v>GPT-4o mini</x:v>
      </x:c>
      <x:c r="B4" s="83" t="n">
        <x:f>'D6 Cost Ledger'!F5</x:f>
        <x:v>1</x:v>
      </x:c>
      <x:c r="C4" s="67" t="n">
        <x:f>'D6 Cost Ledger'!O5</x:f>
        <x:v>0.0021246110091743117</x:v>
      </x:c>
      <x:c r="D4" s="67" t="n">
        <x:f>'D6 Cost Ledger'!P5</x:f>
        <x:v>0</x:v>
      </x:c>
      <x:c r="E4" s="67" t="n">
        <x:f>'D6 Cost Ledger'!Q5</x:f>
        <x:v>0.0021246110091743117</x:v>
      </x:c>
      <x:c r="F4" s="67" t="n">
        <x:f>'D6 Cost Ledger'!R5</x:f>
        <x:v>7.5978753889908255</x:v>
      </x:c>
      <x:c r="G4" s="83" t="n">
        <x:f>E4/'D6 Assumptions'!$B$6</x:f>
        <x:v>0.0002795540801545147</x:v>
      </x:c>
      <x:c r="H4" s="84" t="n">
        <x:f>'D6 Cost Ledger'!D5-'D6 Cost Ledger'!E5</x:f>
        <x:v>0</x:v>
      </x:c>
      <x:c r="I4" s="84" t="n">
        <x:f>'D6 Cost Ledger'!I5</x:f>
        <x:v>4</x:v>
      </x:c>
      <x:c r="J4" s="62" t="str">
        <x:v>100% code-check pass rate; runtime correction still occurred.</x:v>
      </x:c>
      <x:c r="K4" s="61"/>
      <x:c r="L4" s="61"/>
      <x:c r="M4" s="61"/>
      <x:c r="N4" s="61"/>
      <x:c r="O4" s="61"/>
      <x:c r="P4" s="61"/>
      <x:c r="Q4" s="61"/>
      <x:c r="R4" s="61"/>
    </x:row>
    <x:row r="5">
      <x:c r="A5" s="82" t="str">
        <x:f>'D6 Cost Ledger'!A6</x:f>
        <x:v>Gemini 2.5 Flash</x:v>
      </x:c>
      <x:c r="B5" s="83" t="n">
        <x:f>'D6 Cost Ledger'!F6</x:f>
        <x:v>0.9724770642201835</x:v>
      </x:c>
      <x:c r="C5" s="67" t="n">
        <x:f>'D6 Cost Ledger'!O6</x:f>
        <x:v>0.004290611009174312</x:v>
      </x:c>
      <x:c r="D5" s="67" t="n">
        <x:f>'D6 Cost Ledger'!P6</x:f>
        <x:v>0.20917431192660507</x:v>
      </x:c>
      <x:c r="E5" s="67" t="n">
        <x:f>'D6 Cost Ledger'!Q6</x:f>
        <x:v>0.21346492293577937</x:v>
      </x:c>
      <x:c r="F5" s="67" t="n">
        <x:f>'D6 Cost Ledger'!R6</x:f>
        <x:v>7.38653507706422</x:v>
      </x:c>
      <x:c r="G5" s="83" t="n">
        <x:f>E5/'D6 Assumptions'!$B$6</x:f>
        <x:v>0.02808748985997097</x:v>
      </x:c>
      <x:c r="H5" s="84" t="n">
        <x:f>'D6 Cost Ledger'!D6-'D6 Cost Ledger'!E6</x:f>
        <x:v>3</x:v>
      </x:c>
      <x:c r="I5" s="84" t="n">
        <x:f>'D6 Cost Ledger'!I6</x:f>
        <x:v>2</x:v>
      </x:c>
      <x:c r="J5" s="62" t="str">
        <x:v>3 approve failures; memo attributes them to false-positive prompt-injection detection.</x:v>
      </x:c>
      <x:c r="K5" s="61"/>
      <x:c r="L5" s="61"/>
      <x:c r="M5" s="61"/>
      <x:c r="N5" s="61"/>
      <x:c r="O5" s="61"/>
      <x:c r="P5" s="61"/>
      <x:c r="Q5" s="61"/>
      <x:c r="R5" s="61"/>
    </x:row>
    <x:row r="6">
      <x:c r="A6" s="82" t="str">
        <x:f>'D6 Cost Ledger'!A7</x:f>
        <x:v>Gemini 3.8 Flash</x:v>
      </x:c>
      <x:c r="B6" s="83" t="n">
        <x:f>'D6 Cost Ledger'!F7</x:f>
        <x:v>0.9174311926605505</x:v>
      </x:c>
      <x:c r="C6" s="67" t="n">
        <x:f>'D6 Cost Ledger'!O7</x:f>
        <x:v>0.01571023623853211</x:v>
      </x:c>
      <x:c r="D6" s="67" t="n">
        <x:f>'D6 Cost Ledger'!P7</x:f>
        <x:v>0.6275229357798161</x:v>
      </x:c>
      <x:c r="E6" s="67" t="n">
        <x:f>'D6 Cost Ledger'!Q7</x:f>
        <x:v>0.6432331720183482</x:v>
      </x:c>
      <x:c r="F6" s="67" t="n">
        <x:f>'D6 Cost Ledger'!R7</x:f>
        <x:v>6.956766827981651</x:v>
      </x:c>
      <x:c r="G6" s="83" t="n">
        <x:f>E6/'D6 Assumptions'!$B$6</x:f>
        <x:v>0.08463594368662476</x:v>
      </x:c>
      <x:c r="H6" s="84" t="n">
        <x:f>'D6 Cost Ledger'!D7-'D6 Cost Ledger'!E7</x:f>
        <x:v>9</x:v>
      </x:c>
      <x:c r="I6" s="84" t="n">
        <x:f>'D6 Cost Ledger'!I7</x:f>
        <x:v>2</x:v>
      </x:c>
      <x:c r="J6" s="62" t="str">
        <x:v>Lowest pass rate; high output tokens and runtime instability in current configuration.</x:v>
      </x:c>
      <x:c r="K6" s="61"/>
      <x:c r="L6" s="61"/>
      <x:c r="M6" s="61"/>
      <x:c r="N6" s="61"/>
      <x:c r="O6" s="61"/>
      <x:c r="P6" s="61"/>
      <x:c r="Q6" s="61"/>
      <x:c r="R6" s="61"/>
    </x:row>
    <x:row r="7">
      <x:c r="A7" s="82" t="str">
        <x:f>'D6 Cost Ledger'!A8</x:f>
        <x:v>GPT-5.6 Luna</x:v>
      </x:c>
      <x:c r="B7" s="83" t="n">
        <x:f>'D6 Cost Ledger'!F8</x:f>
        <x:v>0.9908256880733946</x:v>
      </x:c>
      <x:c r="C7" s="67" t="n">
        <x:f>'D6 Cost Ledger'!O8</x:f>
        <x:v>0.003292471559633028</x:v>
      </x:c>
      <x:c r="D7" s="67" t="n">
        <x:f>'D6 Cost Ledger'!P8</x:f>
        <x:v>0.06972477064220141</x:v>
      </x:c>
      <x:c r="E7" s="67" t="n">
        <x:f>'D6 Cost Ledger'!Q8</x:f>
        <x:v>0.07301724220183443</x:v>
      </x:c>
      <x:c r="F7" s="67" t="n">
        <x:f>'D6 Cost Ledger'!R8</x:f>
        <x:v>7.526982757798165</x:v>
      </x:c>
      <x:c r="G7" s="83" t="n">
        <x:f>E7/'D6 Assumptions'!$B$6</x:f>
        <x:v>0.009607531868662426</x:v>
      </x:c>
      <x:c r="H7" s="84" t="n">
        <x:f>'D6 Cost Ledger'!D8-'D6 Cost Ledger'!E8</x:f>
        <x:v>1</x:v>
      </x:c>
      <x:c r="I7" s="84" t="n">
        <x:f>'D6 Cost Ledger'!I8</x:f>
        <x:v>2</x:v>
      </x:c>
      <x:c r="J7" s="62" t="str">
        <x:v>1 negative failure; many final rejections indicate runtime correction.</x:v>
      </x:c>
      <x:c r="K7" s="61"/>
      <x:c r="L7" s="61"/>
      <x:c r="M7" s="61"/>
      <x:c r="N7" s="61"/>
      <x:c r="O7" s="61"/>
      <x:c r="P7" s="61"/>
      <x:c r="Q7" s="61"/>
      <x:c r="R7" s="61"/>
    </x:row>
    <x:row r="8">
      <x:c r="A8" s="82" t="str">
        <x:f>'D6 Cost Ledger'!A9</x:f>
        <x:v>Qwen 3.8 Max</x:v>
      </x:c>
      <x:c r="B8" s="83" t="n">
        <x:f>'D6 Cost Ledger'!F9</x:f>
        <x:v>0.981651376146789</x:v>
      </x:c>
      <x:c r="C8" s="67" t="n">
        <x:f>'D6 Cost Ledger'!O9</x:f>
        <x:v>0.026419119266055047</x:v>
      </x:c>
      <x:c r="D8" s="67" t="n">
        <x:f>'D6 Cost Ledger'!P9</x:f>
        <x:v>0.13944954128440368</x:v>
      </x:c>
      <x:c r="E8" s="67" t="n">
        <x:f>'D6 Cost Ledger'!Q9</x:f>
        <x:v>0.16586866055045874</x:v>
      </x:c>
      <x:c r="F8" s="67" t="n">
        <x:f>'D6 Cost Ledger'!R9</x:f>
        <x:v>7.434131339449541</x:v>
      </x:c>
      <x:c r="G8" s="83" t="n">
        <x:f>E8/'D6 Assumptions'!$B$6</x:f>
        <x:v>0.021824823756639307</x:v>
      </x:c>
      <x:c r="H8" s="84" t="n">
        <x:f>'D6 Cost Ledger'!D9-'D6 Cost Ledger'!E9</x:f>
        <x:v>2</x:v>
      </x:c>
      <x:c r="I8" s="84" t="n">
        <x:f>'D6 Cost Ledger'!I9</x:f>
        <x:v>3</x:v>
      </x:c>
      <x:c r="J8" s="62" t="str">
        <x:v>2 negative failures; highest Layer 1 model cost among the five.</x:v>
      </x:c>
      <x:c r="K8" s="61"/>
      <x:c r="L8" s="61"/>
      <x:c r="M8" s="61"/>
      <x:c r="N8" s="61"/>
      <x:c r="O8" s="61"/>
      <x:c r="P8" s="61"/>
      <x:c r="Q8" s="61"/>
      <x:c r="R8" s="61"/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1"/>
      <x:c r="Q9" s="61"/>
      <x:c r="R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</x:row>
    <x:row r="12" ht="36" customHeight="1">
      <x:c r="A12" s="18" t="str">
        <x:v>Sensitivity —
Code-check Pass Rate</x:v>
      </x:c>
      <x:c r="B12" s="18" t="str">
        <x:v>Expected Cost / Trial</x:v>
      </x:c>
      <x:c r="C12" s="18" t="str">
        <x:v>Saving vs Manual</x:v>
      </x:c>
      <x:c r="D12" s="18" t="str">
        <x:v>Assumed Layer 1 / Trial</x:v>
      </x:c>
      <x:c r="E12" s="61"/>
      <x:c r="F12" s="18" t="str">
        <x:v>Useful interpretation for B</x:v>
      </x:c>
      <x:c r="G12" s="18"/>
      <x:c r="H12" s="18"/>
      <x:c r="I12" s="18"/>
      <x:c r="J12" s="18"/>
      <x:c r="K12" s="61"/>
      <x:c r="L12" s="61"/>
      <x:c r="M12" s="61"/>
      <x:c r="N12" s="61"/>
      <x:c r="O12" s="61"/>
      <x:c r="P12" s="61"/>
      <x:c r="Q12" s="61"/>
      <x:c r="R12" s="61"/>
    </x:row>
    <x:row r="13">
      <x:c r="A13" s="85" t="n">
        <x:v>0.9</x:v>
      </x:c>
      <x:c r="B13" s="66" t="n">
        <x:f>D13+(1-A13)*'D6 Assumptions'!$B$6</x:f>
        <x:v>0.7621246110091741</x:v>
      </x:c>
      <x:c r="C13" s="66" t="n">
        <x:f>'D6 Assumptions'!$B$6-B13</x:f>
        <x:v>6.837875388990826</x:v>
      </x:c>
      <x:c r="D13" s="66" t="n">
        <x:f>'D6 Cost Ledger'!O5</x:f>
        <x:v>0.0021246110091743117</x:v>
      </x:c>
      <x:c r="E13" s="61"/>
      <x:c r="F13" s="30" t="str">
        <x:v>The human fallback term can dominate token cost: every 1 percentage-point reduction in code-check pass rate adds US$0.076 expected cost per trial (= 1% × US$7.60), before model-token cost. Use the five-model expected costs (Layer 1 + Layer 2) above for the main comparison; the sensitivity table is a scenario illustration.</x:v>
      </x:c>
      <x:c r="G13" s="30"/>
      <x:c r="H13" s="30"/>
      <x:c r="I13" s="30"/>
      <x:c r="J13" s="30"/>
      <x:c r="K13" s="61"/>
      <x:c r="L13" s="61"/>
      <x:c r="M13" s="61"/>
      <x:c r="N13" s="61"/>
      <x:c r="O13" s="61"/>
      <x:c r="P13" s="61"/>
      <x:c r="Q13" s="61"/>
      <x:c r="R13" s="61"/>
    </x:row>
    <x:row r="14">
      <x:c r="A14" s="85" t="n">
        <x:v>0.95</x:v>
      </x:c>
      <x:c r="B14" s="66" t="n">
        <x:f>D14+(1-A14)*'D6 Assumptions'!$B$6</x:f>
        <x:v>0.38212461100917466</x:v>
      </x:c>
      <x:c r="C14" s="66" t="n">
        <x:f>'D6 Assumptions'!$B$6-B14</x:f>
        <x:v>7.217875388990825</x:v>
      </x:c>
      <x:c r="D14" s="66" t="n">
        <x:f>'D6 Cost Ledger'!O5</x:f>
        <x:v>0.0021246110091743117</x:v>
      </x:c>
      <x:c r="E14" s="61"/>
      <x:c r="F14" s="30"/>
      <x:c r="G14" s="30"/>
      <x:c r="H14" s="30"/>
      <x:c r="I14" s="30"/>
      <x:c r="J14" s="30"/>
      <x:c r="K14" s="61"/>
      <x:c r="L14" s="61"/>
      <x:c r="M14" s="61"/>
      <x:c r="N14" s="61"/>
      <x:c r="O14" s="61"/>
      <x:c r="P14" s="61"/>
      <x:c r="Q14" s="61"/>
      <x:c r="R14" s="61"/>
    </x:row>
    <x:row r="15">
      <x:c r="A15" s="85" t="n">
        <x:v>0.97</x:v>
      </x:c>
      <x:c r="B15" s="66" t="n">
        <x:f>D15+(1-A15)*'D6 Assumptions'!$B$6</x:f>
        <x:v>0.2301246110091745</x:v>
      </x:c>
      <x:c r="C15" s="66" t="n">
        <x:f>'D6 Assumptions'!$B$6-B15</x:f>
        <x:v>7.369875388990825</x:v>
      </x:c>
      <x:c r="D15" s="66" t="n">
        <x:f>'D6 Cost Ledger'!O5</x:f>
        <x:v>0.0021246110091743117</x:v>
      </x:c>
      <x:c r="E15" s="61"/>
      <x:c r="F15" s="30"/>
      <x:c r="G15" s="30"/>
      <x:c r="H15" s="30"/>
      <x:c r="I15" s="30"/>
      <x:c r="J15" s="30"/>
      <x:c r="K15" s="61"/>
      <x:c r="L15" s="61"/>
      <x:c r="M15" s="61"/>
      <x:c r="N15" s="61"/>
      <x:c r="O15" s="61"/>
      <x:c r="P15" s="61"/>
      <x:c r="Q15" s="61"/>
      <x:c r="R15" s="61"/>
    </x:row>
    <x:row r="16">
      <x:c r="A16" s="85" t="n">
        <x:v>0.98</x:v>
      </x:c>
      <x:c r="B16" s="66" t="n">
        <x:f>D16+(1-A16)*'D6 Assumptions'!$B$6</x:f>
        <x:v>0.15412461100917443</x:v>
      </x:c>
      <x:c r="C16" s="66" t="n">
        <x:f>'D6 Assumptions'!$B$6-B16</x:f>
        <x:v>7.445875388990825</x:v>
      </x:c>
      <x:c r="D16" s="66" t="n">
        <x:f>'D6 Cost Ledger'!O5</x:f>
        <x:v>0.0021246110091743117</x:v>
      </x:c>
      <x:c r="E16" s="61"/>
      <x:c r="F16" s="30"/>
      <x:c r="G16" s="30"/>
      <x:c r="H16" s="30"/>
      <x:c r="I16" s="30"/>
      <x:c r="J16" s="30"/>
      <x:c r="K16" s="61"/>
      <x:c r="L16" s="61"/>
      <x:c r="M16" s="61"/>
      <x:c r="N16" s="61"/>
      <x:c r="O16" s="61"/>
      <x:c r="P16" s="61"/>
      <x:c r="Q16" s="61"/>
      <x:c r="R16" s="61"/>
    </x:row>
    <x:row r="17">
      <x:c r="A17" s="85" t="n">
        <x:v>0.99</x:v>
      </x:c>
      <x:c r="B17" s="66" t="n">
        <x:f>D17+(1-A17)*'D6 Assumptions'!$B$6</x:f>
        <x:v>0.07812461100917438</x:v>
      </x:c>
      <x:c r="C17" s="66" t="n">
        <x:f>'D6 Assumptions'!$B$6-B17</x:f>
        <x:v>7.521875388990825</x:v>
      </x:c>
      <x:c r="D17" s="66" t="n">
        <x:f>'D6 Cost Ledger'!O5</x:f>
        <x:v>0.0021246110091743117</x:v>
      </x:c>
      <x:c r="E17" s="61"/>
      <x:c r="F17" s="30"/>
      <x:c r="G17" s="30"/>
      <x:c r="H17" s="30"/>
      <x:c r="I17" s="30"/>
      <x:c r="J17" s="30"/>
      <x:c r="K17" s="61"/>
      <x:c r="L17" s="61"/>
      <x:c r="M17" s="61"/>
      <x:c r="N17" s="61"/>
      <x:c r="O17" s="61"/>
      <x:c r="P17" s="61"/>
      <x:c r="Q17" s="61"/>
      <x:c r="R17" s="61"/>
    </x:row>
    <x:row r="18">
      <x:c r="A18" s="85" t="n">
        <x:v>0.995</x:v>
      </x:c>
      <x:c r="B18" s="66" t="n">
        <x:f>D18+(1-A18)*'D6 Assumptions'!$B$6</x:f>
        <x:v>0.040124611009174346</x:v>
      </x:c>
      <x:c r="C18" s="66" t="n">
        <x:f>'D6 Assumptions'!$B$6-B18</x:f>
        <x:v>7.559875388990825</x:v>
      </x:c>
      <x:c r="D18" s="66" t="n">
        <x:f>'D6 Cost Ledger'!O5</x:f>
        <x:v>0.0021246110091743117</x:v>
      </x:c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</x:row>
    <x:row r="19">
      <x:c r="A19" s="85" t="n">
        <x:v>1</x:v>
      </x:c>
      <x:c r="B19" s="66" t="n">
        <x:f>D19+(1-A19)*'D6 Assumptions'!$B$6</x:f>
        <x:v>0.0021246110091743117</x:v>
      </x:c>
      <x:c r="C19" s="66" t="n">
        <x:f>'D6 Assumptions'!$B$6-B19</x:f>
        <x:v>7.5978753889908255</x:v>
      </x:c>
      <x:c r="D19" s="66" t="n">
        <x:f>'D6 Cost Ledger'!O5</x:f>
        <x:v>0.0021246110091743117</x:v>
      </x:c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</x:row>
  </x:sheetData>
  <x:mergeCells>
    <x:mergeCell ref="A1:J1"/>
    <x:mergeCell ref="F12:J12"/>
    <x:mergeCell ref="F13:J17"/>
  </x:mergeCells>
  <x:conditionalFormatting sqref="E4:E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{74D04928-D245-0C0C-7890-89D85A5491F0}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99e5b6ef7094eb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D04928-D245-0C0C-7890-89D85A5491F0}">
            <x14:dataBar gradient="1">
              <x14:cfvo type="min"/>
              <x14:cfvo type="max"/>
              <x14:fillColor rgb="FFA02B93"/>
            </x14:dataBar>
          </x14:cfRule>
          <xm:sqref>E4:E8</xm:sqref>
        </x14:conditionalFormatting>
      </x14:conditionalFormattings>
    </x:ext>
  </x:extLst>
</x:worksheet>
</file>